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luno\Desktop\"/>
    </mc:Choice>
  </mc:AlternateContent>
  <bookViews>
    <workbookView xWindow="0" yWindow="0" windowWidth="24000" windowHeight="9510" activeTab="1"/>
  </bookViews>
  <sheets>
    <sheet name="TELA LOGIN" sheetId="5" r:id="rId1"/>
    <sheet name="CAIXA" sheetId="3" r:id="rId2"/>
    <sheet name="PAGAMENTO" sheetId="4" r:id="rId3"/>
    <sheet name="RELATORIO" sheetId="7" r:id="rId4"/>
    <sheet name="PRODUTO" sheetId="2" r:id="rId5"/>
    <sheet name="BANCO DE DADOS" sheetId="1" r:id="rId6"/>
  </sheets>
  <definedNames>
    <definedName name="banco">'BANCO DE DADOS'!$A:$C</definedName>
    <definedName name="banco_loja">'BANCO DE DADOS'!$A:$C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3" l="1"/>
  <c r="C2" i="5" l="1"/>
  <c r="D4" i="3" l="1"/>
  <c r="F37" i="3" l="1"/>
  <c r="M22" i="3"/>
  <c r="C2" i="2"/>
  <c r="E2" i="2" s="1"/>
  <c r="I17" i="3" l="1"/>
  <c r="B2" i="2"/>
</calcChain>
</file>

<file path=xl/sharedStrings.xml><?xml version="1.0" encoding="utf-8"?>
<sst xmlns="http://schemas.openxmlformats.org/spreadsheetml/2006/main" count="41" uniqueCount="34">
  <si>
    <t>Maça</t>
  </si>
  <si>
    <t>Banana</t>
  </si>
  <si>
    <t>Uva</t>
  </si>
  <si>
    <t>Laranja</t>
  </si>
  <si>
    <t>Produto</t>
  </si>
  <si>
    <t>Código</t>
  </si>
  <si>
    <t>Quantidade</t>
  </si>
  <si>
    <t>Valor Unitario</t>
  </si>
  <si>
    <t>Valor Total</t>
  </si>
  <si>
    <t>VENDA</t>
  </si>
  <si>
    <t>Total da Venda</t>
  </si>
  <si>
    <t>Progamação IF (SE)</t>
  </si>
  <si>
    <t>Total</t>
  </si>
  <si>
    <t>Forma Pgto</t>
  </si>
  <si>
    <t>LOJINHA DO J</t>
  </si>
  <si>
    <t xml:space="preserve">                                                        </t>
  </si>
  <si>
    <t>SEJA BEM-VINDO</t>
  </si>
  <si>
    <t>Cereja</t>
  </si>
  <si>
    <t>Melancia</t>
  </si>
  <si>
    <t>Melão</t>
  </si>
  <si>
    <t>Abacaxi</t>
  </si>
  <si>
    <t>Abacate</t>
  </si>
  <si>
    <t>Acerola</t>
  </si>
  <si>
    <t>Manga</t>
  </si>
  <si>
    <t>Tomate</t>
  </si>
  <si>
    <t>Beterraba</t>
  </si>
  <si>
    <t xml:space="preserve">Ameixa </t>
  </si>
  <si>
    <t>COD</t>
  </si>
  <si>
    <t>PRODUTO</t>
  </si>
  <si>
    <t>QTQ</t>
  </si>
  <si>
    <t>PREÇO</t>
  </si>
  <si>
    <t>QTD</t>
  </si>
  <si>
    <t>TOTAL</t>
  </si>
  <si>
    <t>QUAL VAI SER A FORMA DE PAGAMENTO?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</si>
</sst>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_-* #,##0_-;\-* #,##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6"/>
      <color theme="1"/>
      <name val="EAN-13"/>
    </font>
    <font>
      <sz val="2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69">
    <xf numFmtId="0" fontId="0" fillId="0" borderId="0" xfId="0"/>
    <xf numFmtId="164" fontId="0" fillId="0" borderId="0" xfId="1" applyFont="1"/>
    <xf numFmtId="0" fontId="0" fillId="3" borderId="0" xfId="0" applyFill="1" applyAlignment="1"/>
    <xf numFmtId="0" fontId="0" fillId="2" borderId="0" xfId="0" applyFill="1" applyAlignment="1"/>
    <xf numFmtId="0" fontId="0" fillId="3" borderId="0" xfId="0" applyFill="1"/>
    <xf numFmtId="0" fontId="0" fillId="2" borderId="0" xfId="0" applyFill="1"/>
    <xf numFmtId="0" fontId="5" fillId="2" borderId="0" xfId="0" applyFont="1" applyFill="1" applyAlignment="1"/>
    <xf numFmtId="0" fontId="0" fillId="2" borderId="0" xfId="0" applyFill="1" applyAlignment="1">
      <alignment vertical="top"/>
    </xf>
    <xf numFmtId="0" fontId="4" fillId="2" borderId="0" xfId="0" applyFont="1" applyFill="1" applyAlignment="1"/>
    <xf numFmtId="0" fontId="0" fillId="4" borderId="0" xfId="0" applyFill="1"/>
    <xf numFmtId="0" fontId="0" fillId="5" borderId="0" xfId="0" applyFill="1"/>
    <xf numFmtId="0" fontId="0" fillId="0" borderId="0" xfId="0" applyBorder="1"/>
    <xf numFmtId="0" fontId="0" fillId="0" borderId="0" xfId="0" applyAlignment="1"/>
    <xf numFmtId="0" fontId="0" fillId="3" borderId="0" xfId="0" applyFill="1" applyBorder="1" applyAlignment="1"/>
    <xf numFmtId="0" fontId="0" fillId="3" borderId="0" xfId="0" applyFill="1" applyBorder="1" applyAlignment="1">
      <alignment horizontal="center"/>
    </xf>
    <xf numFmtId="0" fontId="2" fillId="3" borderId="0" xfId="0" applyFont="1" applyFill="1" applyBorder="1" applyAlignment="1">
      <alignment vertical="top"/>
    </xf>
    <xf numFmtId="0" fontId="0" fillId="3" borderId="1" xfId="0" applyFill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2" borderId="0" xfId="1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Border="1" applyAlignment="1"/>
    <xf numFmtId="0" fontId="0" fillId="7" borderId="0" xfId="0" applyFill="1" applyAlignment="1"/>
    <xf numFmtId="0" fontId="0" fillId="7" borderId="0" xfId="0" applyFill="1" applyAlignment="1">
      <alignment horizontal="center"/>
    </xf>
    <xf numFmtId="164" fontId="0" fillId="7" borderId="0" xfId="1" applyFont="1" applyFill="1" applyAlignment="1"/>
    <xf numFmtId="0" fontId="4" fillId="3" borderId="0" xfId="0" applyFont="1" applyFill="1" applyAlignment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0" fillId="3" borderId="0" xfId="1" applyFont="1" applyFill="1" applyAlignment="1"/>
    <xf numFmtId="164" fontId="0" fillId="2" borderId="0" xfId="1" applyFont="1" applyFill="1" applyAlignment="1"/>
    <xf numFmtId="0" fontId="0" fillId="2" borderId="0" xfId="1" applyNumberFormat="1" applyFont="1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164" fontId="0" fillId="2" borderId="0" xfId="1" applyFont="1" applyFill="1" applyBorder="1" applyAlignment="1"/>
    <xf numFmtId="164" fontId="0" fillId="2" borderId="0" xfId="1" applyFont="1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164" fontId="0" fillId="2" borderId="0" xfId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1" xfId="0" applyFill="1" applyBorder="1"/>
    <xf numFmtId="0" fontId="0" fillId="8" borderId="0" xfId="0" applyFill="1"/>
    <xf numFmtId="0" fontId="10" fillId="0" borderId="0" xfId="0" applyFont="1"/>
    <xf numFmtId="0" fontId="0" fillId="0" borderId="0" xfId="0" applyAlignment="1">
      <alignment horizontal="center"/>
    </xf>
    <xf numFmtId="0" fontId="0" fillId="2" borderId="0" xfId="0" applyFill="1" applyAlignment="1">
      <alignment horizontal="right"/>
    </xf>
    <xf numFmtId="0" fontId="6" fillId="3" borderId="0" xfId="0" applyFont="1" applyFill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22" fontId="6" fillId="3" borderId="0" xfId="0" applyNumberFormat="1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3" borderId="0" xfId="0" applyFont="1" applyFill="1" applyBorder="1" applyAlignment="1">
      <alignment horizontal="center" vertical="top"/>
    </xf>
    <xf numFmtId="0" fontId="0" fillId="3" borderId="1" xfId="0" applyFont="1" applyFill="1" applyBorder="1" applyAlignment="1">
      <alignment horizontal="center" vertical="top"/>
    </xf>
    <xf numFmtId="0" fontId="0" fillId="3" borderId="0" xfId="0" applyFill="1" applyAlignment="1">
      <alignment horizontal="center"/>
    </xf>
    <xf numFmtId="0" fontId="0" fillId="6" borderId="2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0" xfId="0" applyFont="1" applyFill="1" applyAlignment="1">
      <alignment horizontal="center"/>
    </xf>
    <xf numFmtId="164" fontId="0" fillId="2" borderId="0" xfId="1" applyFont="1" applyFill="1" applyAlignment="1">
      <alignment horizontal="center"/>
    </xf>
    <xf numFmtId="0" fontId="0" fillId="3" borderId="0" xfId="0" applyFill="1" applyAlignment="1">
      <alignment horizontal="center" vertical="top"/>
    </xf>
    <xf numFmtId="166" fontId="0" fillId="2" borderId="0" xfId="2" applyNumberFormat="1" applyFont="1" applyFill="1" applyAlignment="1">
      <alignment horizontal="center" vertical="center"/>
    </xf>
    <xf numFmtId="166" fontId="0" fillId="2" borderId="0" xfId="2" applyNumberFormat="1" applyFont="1" applyFill="1" applyAlignment="1">
      <alignment horizontal="center"/>
    </xf>
    <xf numFmtId="164" fontId="0" fillId="2" borderId="0" xfId="1" applyFont="1" applyFill="1" applyAlignment="1">
      <alignment horizontal="center" vertical="center"/>
    </xf>
    <xf numFmtId="0" fontId="4" fillId="2" borderId="0" xfId="0" applyFont="1" applyFill="1" applyAlignment="1">
      <alignment horizontal="left" vertical="top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</cellXfs>
  <cellStyles count="3">
    <cellStyle name="Moeda" xfId="1" builtinId="4"/>
    <cellStyle name="Normal" xfId="0" builtinId="0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jpg"/><Relationship Id="rId3" Type="http://schemas.openxmlformats.org/officeDocument/2006/relationships/image" Target="../media/image2.jpg"/><Relationship Id="rId7" Type="http://schemas.openxmlformats.org/officeDocument/2006/relationships/image" Target="../media/image5.jpeg"/><Relationship Id="rId2" Type="http://schemas.openxmlformats.org/officeDocument/2006/relationships/hyperlink" Target="#RELATORIO!A1"/><Relationship Id="rId1" Type="http://schemas.openxmlformats.org/officeDocument/2006/relationships/hyperlink" Target="#PRODUTO!A1"/><Relationship Id="rId6" Type="http://schemas.openxmlformats.org/officeDocument/2006/relationships/hyperlink" Target="#'BANCO DE DADOS'!A1"/><Relationship Id="rId5" Type="http://schemas.openxmlformats.org/officeDocument/2006/relationships/image" Target="../media/image4.jpg"/><Relationship Id="rId4" Type="http://schemas.openxmlformats.org/officeDocument/2006/relationships/image" Target="../media/image3.jpg"/><Relationship Id="rId9" Type="http://schemas.openxmlformats.org/officeDocument/2006/relationships/image" Target="../media/image7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GAMENTO!A1"/><Relationship Id="rId2" Type="http://schemas.openxmlformats.org/officeDocument/2006/relationships/hyperlink" Target="#'TELA LOGIN'!A1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BANCO DE DADO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PRODUT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CAIXA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PRODUT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3</xdr:row>
      <xdr:rowOff>57150</xdr:rowOff>
    </xdr:from>
    <xdr:to>
      <xdr:col>3</xdr:col>
      <xdr:colOff>2171700</xdr:colOff>
      <xdr:row>6</xdr:row>
      <xdr:rowOff>47625</xdr:rowOff>
    </xdr:to>
    <xdr:sp macro="" textlink="">
      <xdr:nvSpPr>
        <xdr:cNvPr id="7" name="Retângulo Arredondado 6">
          <a:hlinkClick xmlns:r="http://schemas.openxmlformats.org/officeDocument/2006/relationships" r:id="rId1"/>
        </xdr:cNvPr>
        <xdr:cNvSpPr/>
      </xdr:nvSpPr>
      <xdr:spPr>
        <a:xfrm>
          <a:off x="1123950" y="866775"/>
          <a:ext cx="2724150" cy="561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600">
              <a:solidFill>
                <a:schemeClr val="bg1"/>
              </a:solidFill>
            </a:rPr>
            <a:t>CADASTRO</a:t>
          </a:r>
          <a:r>
            <a:rPr lang="pt-BR" sz="1600" baseline="0">
              <a:solidFill>
                <a:schemeClr val="bg1"/>
              </a:solidFill>
            </a:rPr>
            <a:t> PRODUTO</a:t>
          </a:r>
          <a:endParaRPr lang="pt-BR" sz="16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1</xdr:row>
      <xdr:rowOff>1</xdr:rowOff>
    </xdr:from>
    <xdr:to>
      <xdr:col>3</xdr:col>
      <xdr:colOff>733424</xdr:colOff>
      <xdr:row>2</xdr:row>
      <xdr:rowOff>142876</xdr:rowOff>
    </xdr:to>
    <xdr:sp macro="" textlink="">
      <xdr:nvSpPr>
        <xdr:cNvPr id="9" name="Retângulo Arredondado 8">
          <a:hlinkClick xmlns:r="http://schemas.openxmlformats.org/officeDocument/2006/relationships" r:id="rId2"/>
        </xdr:cNvPr>
        <xdr:cNvSpPr/>
      </xdr:nvSpPr>
      <xdr:spPr>
        <a:xfrm>
          <a:off x="1104899" y="190501"/>
          <a:ext cx="1304925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600"/>
            <a:t>PDV</a:t>
          </a:r>
        </a:p>
      </xdr:txBody>
    </xdr:sp>
    <xdr:clientData/>
  </xdr:twoCellAnchor>
  <xdr:twoCellAnchor editAs="oneCell">
    <xdr:from>
      <xdr:col>3</xdr:col>
      <xdr:colOff>2038350</xdr:colOff>
      <xdr:row>16</xdr:row>
      <xdr:rowOff>76201</xdr:rowOff>
    </xdr:from>
    <xdr:to>
      <xdr:col>8</xdr:col>
      <xdr:colOff>152401</xdr:colOff>
      <xdr:row>25</xdr:row>
      <xdr:rowOff>38101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0" y="3457576"/>
          <a:ext cx="3228976" cy="1676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16383</xdr:col>
          <xdr:colOff>19050</xdr:colOff>
          <xdr:row>9</xdr:row>
          <xdr:rowOff>9525</xdr:rowOff>
        </xdr:from>
        <xdr:to>
          <xdr:col>16383</xdr:col>
          <xdr:colOff>771525</xdr:colOff>
          <xdr:row>12</xdr:row>
          <xdr:rowOff>180975</xdr:rowOff>
        </xdr:to>
        <xdr:sp macro="" textlink="">
          <xdr:nvSpPr>
            <xdr:cNvPr id="4097" name="Fech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</xdr:row>
      <xdr:rowOff>9526</xdr:rowOff>
    </xdr:from>
    <xdr:to>
      <xdr:col>3</xdr:col>
      <xdr:colOff>228600</xdr:colOff>
      <xdr:row>2</xdr:row>
      <xdr:rowOff>145026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325" y="200026"/>
          <a:ext cx="828675" cy="56412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3</xdr:row>
      <xdr:rowOff>76200</xdr:rowOff>
    </xdr:from>
    <xdr:to>
      <xdr:col>3</xdr:col>
      <xdr:colOff>219076</xdr:colOff>
      <xdr:row>6</xdr:row>
      <xdr:rowOff>57150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326" y="885825"/>
          <a:ext cx="819150" cy="552450"/>
        </a:xfrm>
        <a:prstGeom prst="rect">
          <a:avLst/>
        </a:prstGeom>
      </xdr:spPr>
    </xdr:pic>
    <xdr:clientData/>
  </xdr:twoCellAnchor>
  <xdr:twoCellAnchor>
    <xdr:from>
      <xdr:col>8</xdr:col>
      <xdr:colOff>533399</xdr:colOff>
      <xdr:row>3</xdr:row>
      <xdr:rowOff>85725</xdr:rowOff>
    </xdr:from>
    <xdr:to>
      <xdr:col>11</xdr:col>
      <xdr:colOff>714375</xdr:colOff>
      <xdr:row>6</xdr:row>
      <xdr:rowOff>85725</xdr:rowOff>
    </xdr:to>
    <xdr:sp macro="" textlink="">
      <xdr:nvSpPr>
        <xdr:cNvPr id="14" name="Retângulo Arredondado 13">
          <a:hlinkClick xmlns:r="http://schemas.openxmlformats.org/officeDocument/2006/relationships" r:id="rId6"/>
        </xdr:cNvPr>
        <xdr:cNvSpPr/>
      </xdr:nvSpPr>
      <xdr:spPr>
        <a:xfrm>
          <a:off x="7324724" y="895350"/>
          <a:ext cx="2133601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600"/>
            <a:t>BANCO</a:t>
          </a:r>
          <a:r>
            <a:rPr lang="pt-BR" sz="1600" baseline="0"/>
            <a:t> DE DADOS</a:t>
          </a:r>
          <a:endParaRPr lang="pt-BR" sz="1600"/>
        </a:p>
      </xdr:txBody>
    </xdr:sp>
    <xdr:clientData/>
  </xdr:twoCellAnchor>
  <xdr:twoCellAnchor editAs="oneCell">
    <xdr:from>
      <xdr:col>8</xdr:col>
      <xdr:colOff>190499</xdr:colOff>
      <xdr:row>3</xdr:row>
      <xdr:rowOff>85726</xdr:rowOff>
    </xdr:from>
    <xdr:to>
      <xdr:col>9</xdr:col>
      <xdr:colOff>409574</xdr:colOff>
      <xdr:row>6</xdr:row>
      <xdr:rowOff>95250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4" y="895351"/>
          <a:ext cx="828675" cy="581024"/>
        </a:xfrm>
        <a:prstGeom prst="rect">
          <a:avLst/>
        </a:prstGeom>
      </xdr:spPr>
    </xdr:pic>
    <xdr:clientData/>
  </xdr:twoCellAnchor>
  <xdr:twoCellAnchor>
    <xdr:from>
      <xdr:col>5</xdr:col>
      <xdr:colOff>333375</xdr:colOff>
      <xdr:row>3</xdr:row>
      <xdr:rowOff>76200</xdr:rowOff>
    </xdr:from>
    <xdr:to>
      <xdr:col>7</xdr:col>
      <xdr:colOff>19050</xdr:colOff>
      <xdr:row>6</xdr:row>
      <xdr:rowOff>57150</xdr:rowOff>
    </xdr:to>
    <xdr:sp macro="" textlink="">
      <xdr:nvSpPr>
        <xdr:cNvPr id="10" name="Retângulo Arredondado 9">
          <a:hlinkClick xmlns:r="http://schemas.openxmlformats.org/officeDocument/2006/relationships" r:id="rId6"/>
        </xdr:cNvPr>
        <xdr:cNvSpPr/>
      </xdr:nvSpPr>
      <xdr:spPr>
        <a:xfrm>
          <a:off x="5295900" y="885825"/>
          <a:ext cx="904875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600"/>
            <a:t>CAIXA</a:t>
          </a:r>
        </a:p>
      </xdr:txBody>
    </xdr:sp>
    <xdr:clientData/>
  </xdr:twoCellAnchor>
  <xdr:twoCellAnchor editAs="oneCell">
    <xdr:from>
      <xdr:col>4</xdr:col>
      <xdr:colOff>314326</xdr:colOff>
      <xdr:row>3</xdr:row>
      <xdr:rowOff>76199</xdr:rowOff>
    </xdr:from>
    <xdr:to>
      <xdr:col>5</xdr:col>
      <xdr:colOff>514350</xdr:colOff>
      <xdr:row>6</xdr:row>
      <xdr:rowOff>47624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1" y="885824"/>
          <a:ext cx="809624" cy="542925"/>
        </a:xfrm>
        <a:prstGeom prst="rect">
          <a:avLst/>
        </a:prstGeom>
      </xdr:spPr>
    </xdr:pic>
    <xdr:clientData/>
  </xdr:twoCellAnchor>
  <xdr:twoCellAnchor>
    <xdr:from>
      <xdr:col>9</xdr:col>
      <xdr:colOff>581025</xdr:colOff>
      <xdr:row>1</xdr:row>
      <xdr:rowOff>19050</xdr:rowOff>
    </xdr:from>
    <xdr:to>
      <xdr:col>11</xdr:col>
      <xdr:colOff>723901</xdr:colOff>
      <xdr:row>2</xdr:row>
      <xdr:rowOff>161925</xdr:rowOff>
    </xdr:to>
    <xdr:sp macro="" textlink="">
      <xdr:nvSpPr>
        <xdr:cNvPr id="15" name="Retângulo Arredondado 14">
          <a:hlinkClick xmlns:r="http://schemas.openxmlformats.org/officeDocument/2006/relationships" r:id="rId2"/>
        </xdr:cNvPr>
        <xdr:cNvSpPr/>
      </xdr:nvSpPr>
      <xdr:spPr>
        <a:xfrm>
          <a:off x="7981950" y="209550"/>
          <a:ext cx="1485901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600"/>
            <a:t>RELATORIO</a:t>
          </a:r>
        </a:p>
      </xdr:txBody>
    </xdr:sp>
    <xdr:clientData/>
  </xdr:twoCellAnchor>
  <xdr:twoCellAnchor editAs="oneCell">
    <xdr:from>
      <xdr:col>9</xdr:col>
      <xdr:colOff>133350</xdr:colOff>
      <xdr:row>1</xdr:row>
      <xdr:rowOff>28574</xdr:rowOff>
    </xdr:from>
    <xdr:to>
      <xdr:col>10</xdr:col>
      <xdr:colOff>238125</xdr:colOff>
      <xdr:row>3</xdr:row>
      <xdr:rowOff>0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219074"/>
          <a:ext cx="838200" cy="5905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9526</xdr:colOff>
      <xdr:row>5</xdr:row>
      <xdr:rowOff>171450</xdr:rowOff>
    </xdr:from>
    <xdr:to>
      <xdr:col>7</xdr:col>
      <xdr:colOff>9526</xdr:colOff>
      <xdr:row>18</xdr:row>
      <xdr:rowOff>133350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6" y="1238250"/>
          <a:ext cx="2438400" cy="2257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2</xdr:row>
          <xdr:rowOff>228600</xdr:rowOff>
        </xdr:from>
        <xdr:to>
          <xdr:col>29</xdr:col>
          <xdr:colOff>76200</xdr:colOff>
          <xdr:row>6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66675</xdr:colOff>
      <xdr:row>1</xdr:row>
      <xdr:rowOff>152400</xdr:rowOff>
    </xdr:from>
    <xdr:to>
      <xdr:col>15</xdr:col>
      <xdr:colOff>504825</xdr:colOff>
      <xdr:row>5</xdr:row>
      <xdr:rowOff>19050</xdr:rowOff>
    </xdr:to>
    <xdr:sp macro="" textlink="">
      <xdr:nvSpPr>
        <xdr:cNvPr id="3" name="Retângulo Arredondado 2">
          <a:hlinkClick xmlns:r="http://schemas.openxmlformats.org/officeDocument/2006/relationships" r:id="rId2"/>
        </xdr:cNvPr>
        <xdr:cNvSpPr/>
      </xdr:nvSpPr>
      <xdr:spPr>
        <a:xfrm>
          <a:off x="8067675" y="342900"/>
          <a:ext cx="1047750" cy="742950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 DE </a:t>
          </a:r>
        </a:p>
        <a:p>
          <a:pPr algn="ctr"/>
          <a:r>
            <a:rPr lang="pt-BR" sz="1100"/>
            <a:t>LOGIN</a:t>
          </a:r>
        </a:p>
      </xdr:txBody>
    </xdr:sp>
    <xdr:clientData/>
  </xdr:twoCellAnchor>
  <xdr:twoCellAnchor>
    <xdr:from>
      <xdr:col>7</xdr:col>
      <xdr:colOff>523874</xdr:colOff>
      <xdr:row>19</xdr:row>
      <xdr:rowOff>152400</xdr:rowOff>
    </xdr:from>
    <xdr:to>
      <xdr:col>10</xdr:col>
      <xdr:colOff>533399</xdr:colOff>
      <xdr:row>22</xdr:row>
      <xdr:rowOff>171450</xdr:rowOff>
    </xdr:to>
    <xdr:sp macro="[0]!botao_clique" textlink="">
      <xdr:nvSpPr>
        <xdr:cNvPr id="4" name="Retângulo Arredondado 3"/>
        <xdr:cNvSpPr/>
      </xdr:nvSpPr>
      <xdr:spPr>
        <a:xfrm>
          <a:off x="4257674" y="3705225"/>
          <a:ext cx="1838325" cy="809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 PRODUTO</a:t>
          </a:r>
        </a:p>
      </xdr:txBody>
    </xdr:sp>
    <xdr:clientData/>
  </xdr:twoCellAnchor>
  <xdr:twoCellAnchor>
    <xdr:from>
      <xdr:col>7</xdr:col>
      <xdr:colOff>590550</xdr:colOff>
      <xdr:row>24</xdr:row>
      <xdr:rowOff>85725</xdr:rowOff>
    </xdr:from>
    <xdr:to>
      <xdr:col>10</xdr:col>
      <xdr:colOff>504825</xdr:colOff>
      <xdr:row>25</xdr:row>
      <xdr:rowOff>142875</xdr:rowOff>
    </xdr:to>
    <xdr:sp macro="" textlink="">
      <xdr:nvSpPr>
        <xdr:cNvPr id="5" name="Retângulo Arredondado 4">
          <a:hlinkClick xmlns:r="http://schemas.openxmlformats.org/officeDocument/2006/relationships" r:id="rId3"/>
        </xdr:cNvPr>
        <xdr:cNvSpPr/>
      </xdr:nvSpPr>
      <xdr:spPr>
        <a:xfrm>
          <a:off x="4324350" y="4810125"/>
          <a:ext cx="17430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FORMA</a:t>
          </a:r>
          <a:r>
            <a:rPr lang="pt-BR" sz="1100" baseline="0"/>
            <a:t> DE PAGAMENTO</a:t>
          </a:r>
          <a:endParaRPr lang="pt-BR" sz="1100"/>
        </a:p>
      </xdr:txBody>
    </xdr:sp>
    <xdr:clientData/>
  </xdr:twoCellAnchor>
  <xdr:twoCellAnchor>
    <xdr:from>
      <xdr:col>3</xdr:col>
      <xdr:colOff>447675</xdr:colOff>
      <xdr:row>24</xdr:row>
      <xdr:rowOff>104775</xdr:rowOff>
    </xdr:from>
    <xdr:to>
      <xdr:col>6</xdr:col>
      <xdr:colOff>285750</xdr:colOff>
      <xdr:row>25</xdr:row>
      <xdr:rowOff>123825</xdr:rowOff>
    </xdr:to>
    <xdr:sp macro="[0]!Impressão" textlink="">
      <xdr:nvSpPr>
        <xdr:cNvPr id="6" name="Retângulo Arredondado 5"/>
        <xdr:cNvSpPr/>
      </xdr:nvSpPr>
      <xdr:spPr>
        <a:xfrm>
          <a:off x="1743075" y="4829175"/>
          <a:ext cx="166687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IMPRESSÃO</a:t>
          </a:r>
        </a:p>
      </xdr:txBody>
    </xdr:sp>
    <xdr:clientData/>
  </xdr:twoCellAnchor>
  <xdr:twoCellAnchor>
    <xdr:from>
      <xdr:col>12</xdr:col>
      <xdr:colOff>238125</xdr:colOff>
      <xdr:row>24</xdr:row>
      <xdr:rowOff>85725</xdr:rowOff>
    </xdr:from>
    <xdr:to>
      <xdr:col>14</xdr:col>
      <xdr:colOff>400050</xdr:colOff>
      <xdr:row>25</xdr:row>
      <xdr:rowOff>114300</xdr:rowOff>
    </xdr:to>
    <xdr:sp macro="[0]!Finalizar" textlink="">
      <xdr:nvSpPr>
        <xdr:cNvPr id="7" name="Retângulo Arredondado 6"/>
        <xdr:cNvSpPr/>
      </xdr:nvSpPr>
      <xdr:spPr>
        <a:xfrm>
          <a:off x="7019925" y="4810125"/>
          <a:ext cx="138112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FINALIZAR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228599</xdr:colOff>
      <xdr:row>6</xdr:row>
      <xdr:rowOff>180974</xdr:rowOff>
    </xdr:from>
    <xdr:to>
      <xdr:col>16</xdr:col>
      <xdr:colOff>542925</xdr:colOff>
      <xdr:row>10</xdr:row>
      <xdr:rowOff>190499</xdr:rowOff>
    </xdr:to>
    <xdr:sp macro="[0]!dinheiro" textlink="">
      <xdr:nvSpPr>
        <xdr:cNvPr id="3" name="Retângulo Arredondado 2"/>
        <xdr:cNvSpPr/>
      </xdr:nvSpPr>
      <xdr:spPr>
        <a:xfrm>
          <a:off x="5714999" y="1666874"/>
          <a:ext cx="4581526" cy="7715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DINHEIRO</a:t>
          </a:r>
        </a:p>
      </xdr:txBody>
    </xdr:sp>
    <xdr:clientData/>
  </xdr:twoCellAnchor>
  <xdr:twoCellAnchor>
    <xdr:from>
      <xdr:col>9</xdr:col>
      <xdr:colOff>228600</xdr:colOff>
      <xdr:row>11</xdr:row>
      <xdr:rowOff>171450</xdr:rowOff>
    </xdr:from>
    <xdr:to>
      <xdr:col>16</xdr:col>
      <xdr:colOff>485775</xdr:colOff>
      <xdr:row>16</xdr:row>
      <xdr:rowOff>38100</xdr:rowOff>
    </xdr:to>
    <xdr:sp macro="[0]!cartao_credito" textlink="">
      <xdr:nvSpPr>
        <xdr:cNvPr id="4" name="Retângulo Arredondado 3"/>
        <xdr:cNvSpPr/>
      </xdr:nvSpPr>
      <xdr:spPr>
        <a:xfrm>
          <a:off x="5715000" y="2609850"/>
          <a:ext cx="4524375" cy="8191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CARTÃO DE</a:t>
          </a:r>
          <a:r>
            <a:rPr lang="pt-BR" sz="1100" baseline="0"/>
            <a:t> CRÉDITO</a:t>
          </a:r>
          <a:endParaRPr lang="pt-BR" sz="1100"/>
        </a:p>
      </xdr:txBody>
    </xdr:sp>
    <xdr:clientData/>
  </xdr:twoCellAnchor>
  <xdr:twoCellAnchor>
    <xdr:from>
      <xdr:col>9</xdr:col>
      <xdr:colOff>228601</xdr:colOff>
      <xdr:row>2</xdr:row>
      <xdr:rowOff>161925</xdr:rowOff>
    </xdr:from>
    <xdr:to>
      <xdr:col>16</xdr:col>
      <xdr:colOff>571501</xdr:colOff>
      <xdr:row>6</xdr:row>
      <xdr:rowOff>19050</xdr:rowOff>
    </xdr:to>
    <xdr:sp macro="[0]!pix" textlink="">
      <xdr:nvSpPr>
        <xdr:cNvPr id="5" name="Retângulo Arredondado 4"/>
        <xdr:cNvSpPr/>
      </xdr:nvSpPr>
      <xdr:spPr>
        <a:xfrm>
          <a:off x="5715001" y="714375"/>
          <a:ext cx="4610100" cy="7905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PIX</a:t>
          </a:r>
        </a:p>
      </xdr:txBody>
    </xdr:sp>
    <xdr:clientData/>
  </xdr:twoCellAnchor>
  <xdr:twoCellAnchor>
    <xdr:from>
      <xdr:col>9</xdr:col>
      <xdr:colOff>247649</xdr:colOff>
      <xdr:row>17</xdr:row>
      <xdr:rowOff>38100</xdr:rowOff>
    </xdr:from>
    <xdr:to>
      <xdr:col>16</xdr:col>
      <xdr:colOff>476250</xdr:colOff>
      <xdr:row>21</xdr:row>
      <xdr:rowOff>104775</xdr:rowOff>
    </xdr:to>
    <xdr:sp macro="[0]!cartao_debito" textlink="">
      <xdr:nvSpPr>
        <xdr:cNvPr id="6" name="Retângulo Arredondado 5"/>
        <xdr:cNvSpPr/>
      </xdr:nvSpPr>
      <xdr:spPr>
        <a:xfrm>
          <a:off x="5734049" y="3619500"/>
          <a:ext cx="4495801" cy="8286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CARTÃO DE DEBITO</a:t>
          </a:r>
        </a:p>
      </xdr:txBody>
    </xdr:sp>
    <xdr:clientData/>
  </xdr:twoCellAnchor>
  <xdr:twoCellAnchor>
    <xdr:from>
      <xdr:col>19</xdr:col>
      <xdr:colOff>95250</xdr:colOff>
      <xdr:row>25</xdr:row>
      <xdr:rowOff>38100</xdr:rowOff>
    </xdr:from>
    <xdr:to>
      <xdr:col>22</xdr:col>
      <xdr:colOff>180976</xdr:colOff>
      <xdr:row>28</xdr:row>
      <xdr:rowOff>123825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11677650" y="4800600"/>
          <a:ext cx="1914526" cy="6572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4</xdr:row>
      <xdr:rowOff>9525</xdr:rowOff>
    </xdr:from>
    <xdr:to>
      <xdr:col>7</xdr:col>
      <xdr:colOff>571500</xdr:colOff>
      <xdr:row>6</xdr:row>
      <xdr:rowOff>19050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2466975" y="200025"/>
          <a:ext cx="237172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PRODUTO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4</xdr:row>
      <xdr:rowOff>66675</xdr:rowOff>
    </xdr:from>
    <xdr:to>
      <xdr:col>5</xdr:col>
      <xdr:colOff>219074</xdr:colOff>
      <xdr:row>7</xdr:row>
      <xdr:rowOff>57151</xdr:rowOff>
    </xdr:to>
    <xdr:sp macro="" textlink="">
      <xdr:nvSpPr>
        <xdr:cNvPr id="3" name="Retângulo Arredondado 2">
          <a:hlinkClick xmlns:r="http://schemas.openxmlformats.org/officeDocument/2006/relationships" r:id="rId1"/>
        </xdr:cNvPr>
        <xdr:cNvSpPr/>
      </xdr:nvSpPr>
      <xdr:spPr>
        <a:xfrm>
          <a:off x="104774" y="828675"/>
          <a:ext cx="4505325" cy="561976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CAIXA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1</xdr:row>
      <xdr:rowOff>104776</xdr:rowOff>
    </xdr:from>
    <xdr:to>
      <xdr:col>6</xdr:col>
      <xdr:colOff>295275</xdr:colOff>
      <xdr:row>2</xdr:row>
      <xdr:rowOff>200025</xdr:rowOff>
    </xdr:to>
    <xdr:sp macro="[0]!Cadastro" textlink="">
      <xdr:nvSpPr>
        <xdr:cNvPr id="2" name="Retângulo 1"/>
        <xdr:cNvSpPr/>
      </xdr:nvSpPr>
      <xdr:spPr>
        <a:xfrm>
          <a:off x="2686050" y="295276"/>
          <a:ext cx="1647825" cy="72389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 CADASTRO</a:t>
          </a:r>
        </a:p>
        <a:p>
          <a:pPr algn="l"/>
          <a:r>
            <a:rPr lang="pt-BR" sz="1100"/>
            <a:t>                   </a:t>
          </a:r>
          <a:r>
            <a:rPr lang="pt-BR" sz="1100" baseline="0"/>
            <a:t> </a:t>
          </a:r>
          <a:r>
            <a:rPr lang="pt-BR" sz="1100"/>
            <a:t>DE</a:t>
          </a:r>
        </a:p>
        <a:p>
          <a:pPr algn="l"/>
          <a:r>
            <a:rPr lang="pt-BR" sz="1100"/>
            <a:t>             PRODUTO</a:t>
          </a:r>
        </a:p>
      </xdr:txBody>
    </xdr:sp>
    <xdr:clientData/>
  </xdr:twoCellAnchor>
  <xdr:twoCellAnchor>
    <xdr:from>
      <xdr:col>7</xdr:col>
      <xdr:colOff>590550</xdr:colOff>
      <xdr:row>1</xdr:row>
      <xdr:rowOff>257176</xdr:rowOff>
    </xdr:from>
    <xdr:to>
      <xdr:col>9</xdr:col>
      <xdr:colOff>381000</xdr:colOff>
      <xdr:row>2</xdr:row>
      <xdr:rowOff>76200</xdr:rowOff>
    </xdr:to>
    <xdr:sp macro="[0]!dinheiro2" textlink="">
      <xdr:nvSpPr>
        <xdr:cNvPr id="3" name="Retângulo 2"/>
        <xdr:cNvSpPr/>
      </xdr:nvSpPr>
      <xdr:spPr>
        <a:xfrm>
          <a:off x="5238750" y="447676"/>
          <a:ext cx="1009650" cy="447674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Dinheiro</a:t>
          </a:r>
        </a:p>
      </xdr:txBody>
    </xdr:sp>
    <xdr:clientData/>
  </xdr:twoCellAnchor>
  <xdr:twoCellAnchor>
    <xdr:from>
      <xdr:col>3</xdr:col>
      <xdr:colOff>428625</xdr:colOff>
      <xdr:row>3</xdr:row>
      <xdr:rowOff>95249</xdr:rowOff>
    </xdr:from>
    <xdr:to>
      <xdr:col>10</xdr:col>
      <xdr:colOff>571500</xdr:colOff>
      <xdr:row>4</xdr:row>
      <xdr:rowOff>190500</xdr:rowOff>
    </xdr:to>
    <xdr:sp macro="" textlink="">
      <xdr:nvSpPr>
        <xdr:cNvPr id="4" name="Retângulo Arredondado 3">
          <a:hlinkClick xmlns:r="http://schemas.openxmlformats.org/officeDocument/2006/relationships" r:id="rId1"/>
        </xdr:cNvPr>
        <xdr:cNvSpPr/>
      </xdr:nvSpPr>
      <xdr:spPr>
        <a:xfrm>
          <a:off x="2638425" y="1543049"/>
          <a:ext cx="4410075" cy="723901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PRODUTO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1:XFD29"/>
  <sheetViews>
    <sheetView showGridLines="0" showRowColHeaders="0" workbookViewId="0">
      <selection activeCell="C13" sqref="C13:L14"/>
    </sheetView>
  </sheetViews>
  <sheetFormatPr defaultColWidth="0" defaultRowHeight="15" zeroHeight="1" x14ac:dyDescent="0.25"/>
  <cols>
    <col min="1" max="1" width="9.140625" customWidth="1"/>
    <col min="2" max="2" width="6.85546875" customWidth="1"/>
    <col min="3" max="3" width="9.140625" customWidth="1"/>
    <col min="4" max="4" width="40.140625" bestFit="1" customWidth="1"/>
    <col min="5" max="9" width="9.140625" customWidth="1"/>
    <col min="10" max="10" width="11" customWidth="1"/>
    <col min="11" max="11" width="9.140625" customWidth="1"/>
    <col min="12" max="12" width="11" customWidth="1"/>
    <col min="13" max="21" width="0" hidden="1" customWidth="1"/>
    <col min="22" max="16383" width="9.140625" hidden="1"/>
    <col min="16384" max="16384" width="11.5703125" customWidth="1"/>
  </cols>
  <sheetData>
    <row r="1" spans="1:12 16384:16384" x14ac:dyDescent="0.25">
      <c r="A1" s="46"/>
      <c r="B1" s="46"/>
      <c r="C1" s="45"/>
      <c r="D1" s="45"/>
      <c r="E1" s="45"/>
      <c r="F1" s="45"/>
      <c r="G1" s="45"/>
      <c r="H1" s="45"/>
      <c r="I1" s="45"/>
      <c r="J1" s="45"/>
      <c r="K1" s="45"/>
      <c r="L1" s="45"/>
      <c r="XFD1" s="12"/>
    </row>
    <row r="2" spans="1:12 16384:16384" ht="33.75" x14ac:dyDescent="0.25">
      <c r="A2" s="46"/>
      <c r="B2" s="46"/>
      <c r="C2" s="50">
        <f ca="1">NOW()</f>
        <v>45581.793371874999</v>
      </c>
      <c r="D2" s="50"/>
      <c r="E2" s="50"/>
      <c r="F2" s="50"/>
      <c r="G2" s="50"/>
      <c r="H2" s="50"/>
      <c r="I2" s="50"/>
      <c r="J2" s="50"/>
      <c r="K2" s="50"/>
      <c r="L2" s="50"/>
      <c r="XFD2" s="3"/>
    </row>
    <row r="3" spans="1:12 16384:16384" x14ac:dyDescent="0.25">
      <c r="A3" s="46"/>
      <c r="B3" s="46"/>
      <c r="C3" s="54"/>
      <c r="D3" s="54"/>
      <c r="E3" s="54"/>
      <c r="F3" s="54"/>
      <c r="G3" s="54"/>
      <c r="H3" s="54"/>
      <c r="I3" s="54"/>
      <c r="J3" s="54"/>
      <c r="K3" s="54"/>
      <c r="L3" s="54"/>
      <c r="XFD3" s="3"/>
    </row>
    <row r="4" spans="1:12 16384:16384" x14ac:dyDescent="0.25">
      <c r="A4" s="46"/>
      <c r="B4" s="46"/>
      <c r="C4" s="54"/>
      <c r="D4" s="54"/>
      <c r="E4" s="54"/>
      <c r="F4" s="54"/>
      <c r="G4" s="54"/>
      <c r="H4" s="54"/>
      <c r="I4" s="54"/>
      <c r="J4" s="54"/>
      <c r="K4" s="54"/>
      <c r="L4" s="54"/>
      <c r="XFD4" s="3"/>
    </row>
    <row r="5" spans="1:12 16384:16384" x14ac:dyDescent="0.25">
      <c r="A5" s="46"/>
      <c r="B5" s="46"/>
      <c r="C5" s="54"/>
      <c r="D5" s="54"/>
      <c r="E5" s="54"/>
      <c r="F5" s="54"/>
      <c r="G5" s="54"/>
      <c r="H5" s="54"/>
      <c r="I5" s="54"/>
      <c r="J5" s="54"/>
      <c r="K5" s="54"/>
      <c r="L5" s="54"/>
      <c r="XFD5" s="3"/>
    </row>
    <row r="6" spans="1:12 16384:16384" x14ac:dyDescent="0.25">
      <c r="A6" s="46"/>
      <c r="B6" s="46"/>
      <c r="C6" s="54"/>
      <c r="D6" s="54"/>
      <c r="E6" s="54"/>
      <c r="F6" s="54"/>
      <c r="G6" s="54"/>
      <c r="H6" s="54"/>
      <c r="I6" s="54"/>
      <c r="J6" s="54"/>
      <c r="K6" s="54"/>
      <c r="L6" s="54"/>
      <c r="XFD6" s="3"/>
    </row>
    <row r="7" spans="1:12 16384:16384" x14ac:dyDescent="0.25">
      <c r="A7" s="46"/>
      <c r="B7" s="46"/>
      <c r="C7" s="54"/>
      <c r="D7" s="54"/>
      <c r="E7" s="54"/>
      <c r="F7" s="54"/>
      <c r="G7" s="54"/>
      <c r="H7" s="54"/>
      <c r="I7" s="54"/>
      <c r="J7" s="54"/>
      <c r="K7" s="54"/>
      <c r="L7" s="54"/>
      <c r="XFD7" s="3"/>
    </row>
    <row r="8" spans="1:12 16384:16384" x14ac:dyDescent="0.25">
      <c r="A8" s="46"/>
      <c r="B8" s="46"/>
      <c r="C8" s="54"/>
      <c r="D8" s="54"/>
      <c r="E8" s="54"/>
      <c r="F8" s="54"/>
      <c r="G8" s="54"/>
      <c r="H8" s="54"/>
      <c r="I8" s="54"/>
      <c r="J8" s="54"/>
      <c r="K8" s="54"/>
      <c r="L8" s="54"/>
      <c r="XFD8" s="3"/>
    </row>
    <row r="9" spans="1:12 16384:16384" x14ac:dyDescent="0.25">
      <c r="A9" s="46"/>
      <c r="B9" s="46"/>
      <c r="C9" s="51"/>
      <c r="D9" s="51"/>
      <c r="E9" s="51"/>
      <c r="F9" s="51"/>
      <c r="G9" s="51"/>
      <c r="H9" s="51"/>
      <c r="I9" s="51"/>
      <c r="J9" s="51"/>
      <c r="K9" s="51"/>
      <c r="L9" s="51"/>
      <c r="XFD9" s="3"/>
    </row>
    <row r="10" spans="1:12 16384:16384" ht="15" customHeight="1" x14ac:dyDescent="0.25">
      <c r="A10" s="46"/>
      <c r="B10" s="46"/>
      <c r="C10" s="47" t="s">
        <v>14</v>
      </c>
      <c r="D10" s="47"/>
      <c r="E10" s="47"/>
      <c r="F10" s="47"/>
      <c r="G10" s="47"/>
      <c r="H10" s="47"/>
      <c r="I10" s="47"/>
      <c r="J10" s="47"/>
      <c r="K10" s="47"/>
      <c r="L10" s="47"/>
      <c r="XFD10" s="3"/>
    </row>
    <row r="11" spans="1:12 16384:16384" ht="15" customHeight="1" x14ac:dyDescent="0.25">
      <c r="A11" s="46"/>
      <c r="B11" s="46"/>
      <c r="C11" s="47"/>
      <c r="D11" s="47"/>
      <c r="E11" s="47"/>
      <c r="F11" s="47"/>
      <c r="G11" s="47"/>
      <c r="H11" s="47"/>
      <c r="I11" s="47"/>
      <c r="J11" s="47"/>
      <c r="K11" s="47"/>
      <c r="L11" s="47"/>
      <c r="XFD11" s="3"/>
    </row>
    <row r="12" spans="1:12 16384:16384" ht="15" customHeight="1" x14ac:dyDescent="0.25">
      <c r="A12" s="46"/>
      <c r="B12" s="46"/>
      <c r="C12" s="47"/>
      <c r="D12" s="47"/>
      <c r="E12" s="47"/>
      <c r="F12" s="47"/>
      <c r="G12" s="47"/>
      <c r="H12" s="47"/>
      <c r="I12" s="47"/>
      <c r="J12" s="47"/>
      <c r="K12" s="47"/>
      <c r="L12" s="47"/>
      <c r="XFD12" s="3"/>
    </row>
    <row r="13" spans="1:12 16384:16384" ht="16.5" customHeight="1" x14ac:dyDescent="0.25">
      <c r="A13" s="46"/>
      <c r="B13" s="46"/>
      <c r="C13" s="52" t="s">
        <v>15</v>
      </c>
      <c r="D13" s="52"/>
      <c r="E13" s="52"/>
      <c r="F13" s="52"/>
      <c r="G13" s="52"/>
      <c r="H13" s="52"/>
      <c r="I13" s="52"/>
      <c r="J13" s="52"/>
      <c r="K13" s="52"/>
      <c r="L13" s="52"/>
      <c r="XFD13" s="3"/>
    </row>
    <row r="14" spans="1:12 16384:16384" x14ac:dyDescent="0.25">
      <c r="A14" s="46"/>
      <c r="B14" s="46"/>
      <c r="C14" s="52"/>
      <c r="D14" s="52"/>
      <c r="E14" s="52"/>
      <c r="F14" s="52"/>
      <c r="G14" s="52"/>
      <c r="H14" s="52"/>
      <c r="I14" s="52"/>
      <c r="J14" s="52"/>
      <c r="K14" s="52"/>
      <c r="L14" s="52"/>
      <c r="XFD14" s="3"/>
    </row>
    <row r="15" spans="1:12 16384:16384" ht="21" customHeight="1" x14ac:dyDescent="0.25">
      <c r="A15" s="46"/>
      <c r="B15" s="46"/>
      <c r="C15" s="48" t="s">
        <v>16</v>
      </c>
      <c r="D15" s="49"/>
      <c r="E15" s="49"/>
      <c r="F15" s="49"/>
      <c r="G15" s="49"/>
      <c r="H15" s="49"/>
      <c r="I15" s="49"/>
      <c r="J15" s="49"/>
      <c r="K15" s="49"/>
      <c r="L15" s="49"/>
      <c r="XFD15" s="3"/>
    </row>
    <row r="16" spans="1:12 16384:16384" x14ac:dyDescent="0.25">
      <c r="A16" s="46"/>
      <c r="B16" s="46"/>
      <c r="C16" s="52"/>
      <c r="D16" s="52"/>
      <c r="E16" s="52"/>
      <c r="F16" s="52"/>
      <c r="G16" s="52"/>
      <c r="H16" s="52"/>
      <c r="I16" s="52"/>
      <c r="J16" s="52"/>
      <c r="K16" s="52"/>
      <c r="L16" s="52"/>
      <c r="XFD16" s="3"/>
    </row>
    <row r="17" spans="1:12 16384:16384" x14ac:dyDescent="0.25">
      <c r="A17" s="46"/>
      <c r="B17" s="46"/>
      <c r="C17" s="52"/>
      <c r="D17" s="52"/>
      <c r="E17" s="52"/>
      <c r="F17" s="52"/>
      <c r="G17" s="52"/>
      <c r="H17" s="52"/>
      <c r="I17" s="52"/>
      <c r="J17" s="52"/>
      <c r="K17" s="52"/>
      <c r="L17" s="52"/>
      <c r="XFD17" s="12"/>
    </row>
    <row r="18" spans="1:12 16384:16384" x14ac:dyDescent="0.25">
      <c r="A18" s="46"/>
      <c r="B18" s="46"/>
      <c r="C18" s="52"/>
      <c r="D18" s="52"/>
      <c r="E18" s="52"/>
      <c r="F18" s="52"/>
      <c r="G18" s="52"/>
      <c r="H18" s="52"/>
      <c r="I18" s="52"/>
      <c r="J18" s="52"/>
      <c r="K18" s="52"/>
      <c r="L18" s="52"/>
      <c r="XFD18" s="12"/>
    </row>
    <row r="19" spans="1:12 16384:16384" x14ac:dyDescent="0.25">
      <c r="A19" s="46"/>
      <c r="B19" s="46"/>
      <c r="C19" s="52"/>
      <c r="D19" s="52"/>
      <c r="E19" s="52"/>
      <c r="F19" s="52"/>
      <c r="G19" s="52"/>
      <c r="H19" s="52"/>
      <c r="I19" s="52"/>
      <c r="J19" s="52"/>
      <c r="K19" s="52"/>
      <c r="L19" s="52"/>
      <c r="XFD19" s="12"/>
    </row>
    <row r="20" spans="1:12 16384:16384" x14ac:dyDescent="0.25">
      <c r="A20" s="46"/>
      <c r="B20" s="46"/>
      <c r="C20" s="52"/>
      <c r="D20" s="52"/>
      <c r="E20" s="52"/>
      <c r="F20" s="52"/>
      <c r="G20" s="52"/>
      <c r="H20" s="52"/>
      <c r="I20" s="52"/>
      <c r="J20" s="52"/>
      <c r="K20" s="52"/>
      <c r="L20" s="52"/>
      <c r="XFD20" s="12"/>
    </row>
    <row r="21" spans="1:12 16384:16384" x14ac:dyDescent="0.25">
      <c r="A21" s="46"/>
      <c r="B21" s="46"/>
      <c r="C21" s="52"/>
      <c r="D21" s="52"/>
      <c r="E21" s="52"/>
      <c r="F21" s="52"/>
      <c r="G21" s="52"/>
      <c r="H21" s="52"/>
      <c r="I21" s="52"/>
      <c r="J21" s="52"/>
      <c r="K21" s="52"/>
      <c r="L21" s="52"/>
      <c r="XFD21" s="12"/>
    </row>
    <row r="22" spans="1:12 16384:16384" x14ac:dyDescent="0.25">
      <c r="A22" s="46"/>
      <c r="B22" s="46"/>
      <c r="C22" s="52"/>
      <c r="D22" s="52"/>
      <c r="E22" s="52"/>
      <c r="F22" s="52"/>
      <c r="G22" s="52"/>
      <c r="H22" s="52"/>
      <c r="I22" s="52"/>
      <c r="J22" s="52"/>
      <c r="K22" s="52"/>
      <c r="L22" s="52"/>
      <c r="XFD22" s="12"/>
    </row>
    <row r="23" spans="1:12 16384:16384" x14ac:dyDescent="0.25">
      <c r="A23" s="46"/>
      <c r="B23" s="46"/>
      <c r="C23" s="52"/>
      <c r="D23" s="52"/>
      <c r="E23" s="52"/>
      <c r="F23" s="52"/>
      <c r="G23" s="52"/>
      <c r="H23" s="52"/>
      <c r="I23" s="52"/>
      <c r="J23" s="52"/>
      <c r="K23" s="52"/>
      <c r="L23" s="52"/>
      <c r="XFD23" s="12"/>
    </row>
    <row r="24" spans="1:12 16384:16384" x14ac:dyDescent="0.25">
      <c r="A24" s="46"/>
      <c r="B24" s="46"/>
      <c r="C24" s="52"/>
      <c r="D24" s="52"/>
      <c r="E24" s="52"/>
      <c r="F24" s="52"/>
      <c r="G24" s="52"/>
      <c r="H24" s="52"/>
      <c r="I24" s="52"/>
      <c r="J24" s="52"/>
      <c r="K24" s="52"/>
      <c r="L24" s="52"/>
      <c r="XFD24" s="12"/>
    </row>
    <row r="25" spans="1:12 16384:16384" x14ac:dyDescent="0.25">
      <c r="A25" s="46"/>
      <c r="B25" s="46"/>
      <c r="C25" s="52"/>
      <c r="D25" s="52"/>
      <c r="E25" s="52"/>
      <c r="F25" s="52"/>
      <c r="G25" s="52"/>
      <c r="H25" s="52"/>
      <c r="I25" s="52"/>
      <c r="J25" s="52"/>
      <c r="K25" s="52"/>
      <c r="L25" s="52"/>
      <c r="XFD25" s="12"/>
    </row>
    <row r="26" spans="1:12 16384:16384" x14ac:dyDescent="0.25">
      <c r="A26" s="46"/>
      <c r="B26" s="46"/>
      <c r="C26" s="52"/>
      <c r="D26" s="52"/>
      <c r="E26" s="52"/>
      <c r="F26" s="52"/>
      <c r="G26" s="52"/>
      <c r="H26" s="52"/>
      <c r="I26" s="52"/>
      <c r="J26" s="52"/>
      <c r="K26" s="52"/>
      <c r="L26" s="52"/>
      <c r="XFD26" s="12"/>
    </row>
    <row r="27" spans="1:12 16384:16384" x14ac:dyDescent="0.25">
      <c r="A27" s="46"/>
      <c r="B27" s="46"/>
      <c r="C27" s="53"/>
      <c r="D27" s="53"/>
      <c r="E27" s="53"/>
      <c r="F27" s="53"/>
      <c r="G27" s="53"/>
      <c r="H27" s="53"/>
      <c r="I27" s="53"/>
      <c r="J27" s="53"/>
      <c r="K27" s="53"/>
      <c r="L27" s="53"/>
      <c r="XFD27" s="12"/>
    </row>
    <row r="28" spans="1:12 16384:16384" ht="15.75" customHeight="1" x14ac:dyDescent="0.25">
      <c r="A28" s="46"/>
      <c r="B28" s="46"/>
      <c r="C28" s="55"/>
      <c r="D28" s="55"/>
      <c r="E28" s="55"/>
      <c r="F28" s="55"/>
      <c r="G28" s="55"/>
      <c r="H28" s="55"/>
      <c r="I28" s="55"/>
      <c r="J28" s="55"/>
      <c r="K28" s="55"/>
      <c r="L28" s="55"/>
      <c r="XFD28" s="12"/>
    </row>
    <row r="29" spans="1:12 16384:16384" s="45" customFormat="1" ht="57.75" customHeight="1" x14ac:dyDescent="0.25"/>
  </sheetData>
  <mergeCells count="11">
    <mergeCell ref="C1:L1"/>
    <mergeCell ref="A1:B28"/>
    <mergeCell ref="A29:XFD29"/>
    <mergeCell ref="C10:L12"/>
    <mergeCell ref="C15:L15"/>
    <mergeCell ref="C2:L2"/>
    <mergeCell ref="C9:L9"/>
    <mergeCell ref="C13:L14"/>
    <mergeCell ref="C16:L27"/>
    <mergeCell ref="C3:L8"/>
    <mergeCell ref="C28:L2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Fechar">
          <controlPr defaultSize="0" autoLine="0" r:id="rId5">
            <anchor moveWithCells="1">
              <from>
                <xdr:col>16383</xdr:col>
                <xdr:colOff>19050</xdr:colOff>
                <xdr:row>9</xdr:row>
                <xdr:rowOff>9525</xdr:rowOff>
              </from>
              <to>
                <xdr:col>16383</xdr:col>
                <xdr:colOff>771525</xdr:colOff>
                <xdr:row>12</xdr:row>
                <xdr:rowOff>180975</xdr:rowOff>
              </to>
            </anchor>
          </controlPr>
        </control>
      </mc:Choice>
      <mc:Fallback>
        <control shapeId="4097" r:id="rId4" name="Fech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AD278"/>
  <sheetViews>
    <sheetView showGridLines="0" showRowColHeaders="0" tabSelected="1" workbookViewId="0">
      <selection activeCell="AA15" sqref="AA15"/>
    </sheetView>
  </sheetViews>
  <sheetFormatPr defaultRowHeight="15" x14ac:dyDescent="0.25"/>
  <cols>
    <col min="2" max="2" width="8.28515625" customWidth="1"/>
    <col min="3" max="3" width="2" customWidth="1"/>
    <col min="17" max="17" width="12.7109375" bestFit="1" customWidth="1"/>
    <col min="22" max="22" width="5" customWidth="1"/>
    <col min="23" max="24" width="9.140625" hidden="1" customWidth="1"/>
    <col min="25" max="25" width="2.85546875" customWidth="1"/>
    <col min="26" max="26" width="5.5703125" customWidth="1"/>
    <col min="28" max="28" width="8.140625" customWidth="1"/>
    <col min="29" max="29" width="2.85546875" customWidth="1"/>
  </cols>
  <sheetData>
    <row r="1" spans="1:30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AC1" s="12"/>
      <c r="AD1" s="12"/>
    </row>
    <row r="2" spans="1:30" ht="15" customHeight="1" x14ac:dyDescent="0.25">
      <c r="A2" s="45"/>
      <c r="B2" s="45"/>
      <c r="C2" s="54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4"/>
      <c r="R2" s="4"/>
      <c r="S2" s="4"/>
      <c r="T2" s="4"/>
      <c r="U2" s="4"/>
      <c r="V2" s="5"/>
      <c r="W2" s="5"/>
      <c r="X2" s="5"/>
      <c r="Y2" s="3"/>
      <c r="AC2" s="12"/>
      <c r="AD2" s="12"/>
    </row>
    <row r="3" spans="1:30" ht="18.75" x14ac:dyDescent="0.3">
      <c r="A3" s="45"/>
      <c r="B3" s="45"/>
      <c r="C3" s="54"/>
      <c r="D3" s="6" t="s">
        <v>4</v>
      </c>
      <c r="E3" s="3"/>
      <c r="F3" s="3"/>
      <c r="G3" s="3"/>
      <c r="H3" s="3"/>
      <c r="I3" s="3"/>
      <c r="J3" s="3"/>
      <c r="K3" s="3"/>
      <c r="L3" s="3"/>
      <c r="M3" s="3"/>
      <c r="N3" s="3"/>
      <c r="O3" s="2"/>
      <c r="P3" s="2"/>
      <c r="Q3" s="27" t="s">
        <v>27</v>
      </c>
      <c r="R3" s="67" t="s">
        <v>28</v>
      </c>
      <c r="S3" s="68" t="s">
        <v>29</v>
      </c>
      <c r="T3" s="68" t="s">
        <v>30</v>
      </c>
      <c r="U3" s="4"/>
      <c r="V3" s="3"/>
      <c r="W3" s="5"/>
      <c r="X3" s="5"/>
      <c r="Y3" s="3"/>
      <c r="AC3" s="12"/>
      <c r="AD3" s="12"/>
    </row>
    <row r="4" spans="1:30" ht="20.25" customHeight="1" x14ac:dyDescent="0.25">
      <c r="A4" s="45"/>
      <c r="B4" s="45"/>
      <c r="C4" s="54"/>
      <c r="D4" s="58" t="str">
        <f>VLOOKUP(I8,banco,2,0)</f>
        <v xml:space="preserve">Ameixa </v>
      </c>
      <c r="E4" s="58"/>
      <c r="F4" s="58"/>
      <c r="G4" s="58"/>
      <c r="H4" s="58"/>
      <c r="I4" s="58"/>
      <c r="J4" s="58"/>
      <c r="K4" s="58"/>
      <c r="L4" s="58"/>
      <c r="M4" s="58"/>
      <c r="N4" s="58"/>
      <c r="O4" s="2"/>
      <c r="P4" s="2"/>
      <c r="Q4" s="26"/>
      <c r="R4" s="26"/>
      <c r="S4" s="26"/>
      <c r="T4" s="28"/>
      <c r="U4" s="2"/>
      <c r="V4" s="3"/>
      <c r="W4" s="5"/>
      <c r="X4" s="5"/>
      <c r="Y4" s="3"/>
      <c r="AC4" s="12"/>
      <c r="AD4" s="12"/>
    </row>
    <row r="5" spans="1:30" ht="15" customHeight="1" x14ac:dyDescent="0.25">
      <c r="A5" s="45"/>
      <c r="B5" s="45"/>
      <c r="C5" s="54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2"/>
      <c r="P5" s="2"/>
      <c r="Q5" s="26"/>
      <c r="R5" s="26"/>
      <c r="S5" s="26"/>
      <c r="T5" s="28"/>
      <c r="U5" s="2"/>
      <c r="V5" s="33"/>
      <c r="W5" s="5"/>
      <c r="X5" s="5"/>
      <c r="Y5" s="3"/>
      <c r="AC5" s="12"/>
      <c r="AD5" s="12"/>
    </row>
    <row r="6" spans="1:30" x14ac:dyDescent="0.25">
      <c r="A6" s="45"/>
      <c r="B6" s="45"/>
      <c r="C6" s="54"/>
      <c r="D6" s="2"/>
      <c r="E6" s="2"/>
      <c r="F6" s="2"/>
      <c r="G6" s="2"/>
      <c r="H6" s="54"/>
      <c r="I6" s="54"/>
      <c r="J6" s="54"/>
      <c r="K6" s="54"/>
      <c r="L6" s="54"/>
      <c r="M6" s="54"/>
      <c r="N6" s="54"/>
      <c r="O6" s="54"/>
      <c r="P6" s="54"/>
      <c r="Q6" s="26"/>
      <c r="R6" s="26"/>
      <c r="S6" s="26"/>
      <c r="T6" s="28"/>
      <c r="U6" s="2"/>
      <c r="V6" s="3"/>
      <c r="W6" s="3"/>
      <c r="X6" s="3"/>
      <c r="Y6" s="3"/>
      <c r="AC6" s="12"/>
      <c r="AD6" s="12"/>
    </row>
    <row r="7" spans="1:30" ht="15.75" x14ac:dyDescent="0.25">
      <c r="A7" s="45"/>
      <c r="B7" s="45"/>
      <c r="C7" s="54"/>
      <c r="D7" s="13"/>
      <c r="E7" s="13"/>
      <c r="F7" s="13"/>
      <c r="G7" s="13"/>
      <c r="H7" s="54"/>
      <c r="I7" s="64" t="s">
        <v>5</v>
      </c>
      <c r="J7" s="64"/>
      <c r="K7" s="7"/>
      <c r="L7" s="7"/>
      <c r="M7" s="7"/>
      <c r="N7" s="7"/>
      <c r="O7" s="3"/>
      <c r="P7" s="54"/>
      <c r="Q7" s="26"/>
      <c r="R7" s="26"/>
      <c r="S7" s="26"/>
      <c r="T7" s="28"/>
      <c r="U7" s="2"/>
      <c r="V7" s="3"/>
      <c r="W7" s="3"/>
      <c r="X7" s="3"/>
      <c r="Y7" s="3"/>
      <c r="AC7" s="12"/>
      <c r="AD7" s="12"/>
    </row>
    <row r="8" spans="1:30" x14ac:dyDescent="0.25">
      <c r="A8" s="45"/>
      <c r="B8" s="45"/>
      <c r="C8" s="54"/>
      <c r="D8" s="13"/>
      <c r="E8" s="13"/>
      <c r="F8" s="13"/>
      <c r="G8" s="13"/>
      <c r="H8" s="54"/>
      <c r="I8" s="62">
        <v>11111</v>
      </c>
      <c r="J8" s="62"/>
      <c r="K8" s="62"/>
      <c r="L8" s="62"/>
      <c r="M8" s="62"/>
      <c r="N8" s="62"/>
      <c r="O8" s="62"/>
      <c r="P8" s="54"/>
      <c r="Q8" s="26"/>
      <c r="R8" s="26"/>
      <c r="S8" s="26"/>
      <c r="T8" s="28"/>
      <c r="U8" s="24"/>
      <c r="V8" s="31"/>
      <c r="W8" s="3"/>
      <c r="X8" s="3"/>
      <c r="Y8" s="3"/>
      <c r="AB8" s="56"/>
      <c r="AC8" s="56"/>
      <c r="AD8" s="12"/>
    </row>
    <row r="9" spans="1:30" ht="9" customHeight="1" x14ac:dyDescent="0.25">
      <c r="A9" s="45"/>
      <c r="B9" s="45"/>
      <c r="C9" s="54"/>
      <c r="D9" s="13"/>
      <c r="E9" s="13"/>
      <c r="F9" s="13"/>
      <c r="G9" s="13"/>
      <c r="H9" s="54"/>
      <c r="I9" s="2"/>
      <c r="J9" s="2"/>
      <c r="K9" s="2"/>
      <c r="L9" s="2"/>
      <c r="M9" s="2"/>
      <c r="N9" s="2"/>
      <c r="O9" s="2"/>
      <c r="P9" s="54"/>
      <c r="Q9" s="26"/>
      <c r="R9" s="26"/>
      <c r="S9" s="26"/>
      <c r="T9" s="28"/>
      <c r="U9" s="2"/>
      <c r="V9" s="3"/>
      <c r="W9" s="3"/>
      <c r="X9" s="3"/>
      <c r="Y9" s="3"/>
      <c r="AB9" s="56"/>
      <c r="AC9" s="56"/>
      <c r="AD9" s="12"/>
    </row>
    <row r="10" spans="1:30" ht="15.75" x14ac:dyDescent="0.25">
      <c r="A10" s="45"/>
      <c r="B10" s="45"/>
      <c r="C10" s="54"/>
      <c r="D10" s="13"/>
      <c r="E10" s="13"/>
      <c r="F10" s="13"/>
      <c r="G10" s="13"/>
      <c r="H10" s="54"/>
      <c r="I10" s="64" t="s">
        <v>6</v>
      </c>
      <c r="J10" s="64"/>
      <c r="K10" s="3"/>
      <c r="L10" s="3"/>
      <c r="M10" s="3"/>
      <c r="N10" s="3"/>
      <c r="O10" s="3"/>
      <c r="P10" s="54"/>
      <c r="Q10" s="26"/>
      <c r="R10" s="26"/>
      <c r="S10" s="26"/>
      <c r="T10" s="28"/>
      <c r="U10" s="2"/>
      <c r="V10" s="3"/>
      <c r="W10" s="3"/>
      <c r="X10" s="3"/>
      <c r="Y10" s="3"/>
      <c r="AB10" s="56"/>
      <c r="AC10" s="56"/>
      <c r="AD10" s="12"/>
    </row>
    <row r="11" spans="1:30" x14ac:dyDescent="0.25">
      <c r="A11" s="45"/>
      <c r="B11" s="45"/>
      <c r="C11" s="54"/>
      <c r="D11" s="13"/>
      <c r="E11" s="13"/>
      <c r="F11" s="13"/>
      <c r="G11" s="13"/>
      <c r="H11" s="54"/>
      <c r="I11" s="61">
        <v>8</v>
      </c>
      <c r="J11" s="61"/>
      <c r="K11" s="61"/>
      <c r="L11" s="61"/>
      <c r="M11" s="61"/>
      <c r="N11" s="61"/>
      <c r="O11" s="61"/>
      <c r="P11" s="54"/>
      <c r="Q11" s="26"/>
      <c r="R11" s="26"/>
      <c r="S11" s="26"/>
      <c r="T11" s="28"/>
      <c r="U11" s="2"/>
      <c r="V11" s="3"/>
      <c r="W11" s="3"/>
      <c r="X11" s="3"/>
      <c r="Y11" s="3"/>
      <c r="AB11" s="56"/>
      <c r="AC11" s="56"/>
      <c r="AD11" s="12"/>
    </row>
    <row r="12" spans="1:30" ht="10.5" customHeight="1" x14ac:dyDescent="0.25">
      <c r="A12" s="45"/>
      <c r="B12" s="45"/>
      <c r="C12" s="54"/>
      <c r="D12" s="14"/>
      <c r="E12" s="15"/>
      <c r="F12" s="15"/>
      <c r="G12" s="13"/>
      <c r="H12" s="54"/>
      <c r="I12" s="60"/>
      <c r="J12" s="60"/>
      <c r="K12" s="60"/>
      <c r="L12" s="60"/>
      <c r="M12" s="60"/>
      <c r="N12" s="60"/>
      <c r="O12" s="60"/>
      <c r="P12" s="54"/>
      <c r="Q12" s="26"/>
      <c r="R12" s="26"/>
      <c r="S12" s="26"/>
      <c r="T12" s="28"/>
      <c r="U12" s="2"/>
      <c r="V12" s="3"/>
      <c r="W12" s="3"/>
      <c r="X12" s="3"/>
      <c r="Y12" s="3"/>
      <c r="AB12" s="56"/>
      <c r="AC12" s="56"/>
      <c r="AD12" s="25"/>
    </row>
    <row r="13" spans="1:30" ht="15.75" customHeight="1" x14ac:dyDescent="0.25">
      <c r="A13" s="45"/>
      <c r="B13" s="45"/>
      <c r="C13" s="54"/>
      <c r="D13" s="13"/>
      <c r="E13" s="13"/>
      <c r="F13" s="13"/>
      <c r="G13" s="13"/>
      <c r="H13" s="54"/>
      <c r="I13" s="65" t="s">
        <v>7</v>
      </c>
      <c r="J13" s="65"/>
      <c r="K13" s="3"/>
      <c r="L13" s="3"/>
      <c r="M13" s="3"/>
      <c r="N13" s="3"/>
      <c r="O13" s="3"/>
      <c r="P13" s="54"/>
      <c r="Q13" s="26"/>
      <c r="R13" s="26"/>
      <c r="S13" s="26"/>
      <c r="T13" s="28"/>
      <c r="U13" s="2"/>
      <c r="V13" s="3"/>
      <c r="W13" s="3"/>
      <c r="X13" s="3"/>
      <c r="Y13" s="3"/>
      <c r="AB13" s="56"/>
      <c r="AC13" s="56"/>
      <c r="AD13" s="25"/>
    </row>
    <row r="14" spans="1:30" x14ac:dyDescent="0.25">
      <c r="A14" s="45"/>
      <c r="B14" s="45"/>
      <c r="C14" s="54"/>
      <c r="D14" s="13"/>
      <c r="E14" s="13"/>
      <c r="F14" s="13"/>
      <c r="G14" s="13"/>
      <c r="H14" s="54"/>
      <c r="I14" s="63">
        <f>VLOOKUP(I8,banco,3,0)</f>
        <v>2</v>
      </c>
      <c r="J14" s="63"/>
      <c r="K14" s="63"/>
      <c r="L14" s="63"/>
      <c r="M14" s="63"/>
      <c r="N14" s="63"/>
      <c r="O14" s="63"/>
      <c r="P14" s="54"/>
      <c r="Q14" s="27"/>
      <c r="R14" s="26"/>
      <c r="S14" s="27"/>
      <c r="T14" s="28"/>
      <c r="U14" s="2"/>
      <c r="V14" s="3"/>
      <c r="W14" s="3"/>
      <c r="X14" s="3"/>
      <c r="Y14" s="3"/>
      <c r="AB14" s="56"/>
      <c r="AC14" s="56"/>
      <c r="AD14" s="12"/>
    </row>
    <row r="15" spans="1:30" ht="9" customHeight="1" x14ac:dyDescent="0.25">
      <c r="A15" s="45"/>
      <c r="B15" s="45"/>
      <c r="C15" s="54"/>
      <c r="D15" s="13"/>
      <c r="E15" s="13"/>
      <c r="F15" s="13"/>
      <c r="G15" s="13"/>
      <c r="H15" s="54"/>
      <c r="I15" s="2"/>
      <c r="J15" s="2"/>
      <c r="K15" s="2"/>
      <c r="L15" s="2"/>
      <c r="M15" s="2"/>
      <c r="N15" s="2"/>
      <c r="O15" s="2"/>
      <c r="P15" s="54"/>
      <c r="Q15" s="27"/>
      <c r="R15" s="27"/>
      <c r="S15" s="27"/>
      <c r="T15" s="28"/>
      <c r="U15" s="2"/>
      <c r="V15" s="3"/>
      <c r="W15" s="3"/>
      <c r="X15" s="3"/>
      <c r="Y15" s="3"/>
      <c r="AB15" s="56"/>
      <c r="AC15" s="56"/>
      <c r="AD15" s="12"/>
    </row>
    <row r="16" spans="1:30" x14ac:dyDescent="0.25">
      <c r="A16" s="45"/>
      <c r="B16" s="45"/>
      <c r="C16" s="54"/>
      <c r="D16" s="13"/>
      <c r="E16" s="13"/>
      <c r="F16" s="13"/>
      <c r="G16" s="13"/>
      <c r="H16" s="54"/>
      <c r="I16" s="3" t="s">
        <v>8</v>
      </c>
      <c r="J16" s="3"/>
      <c r="K16" s="3"/>
      <c r="L16" s="3"/>
      <c r="M16" s="3"/>
      <c r="N16" s="3"/>
      <c r="O16" s="3"/>
      <c r="P16" s="54"/>
      <c r="Q16" s="27"/>
      <c r="R16" s="27"/>
      <c r="S16" s="27"/>
      <c r="T16" s="28"/>
      <c r="U16" s="24"/>
      <c r="V16" s="31"/>
      <c r="W16" s="3"/>
      <c r="X16" s="3"/>
      <c r="Y16" s="3"/>
      <c r="AB16" s="56"/>
      <c r="AC16" s="56"/>
      <c r="AD16" s="12"/>
    </row>
    <row r="17" spans="1:30" x14ac:dyDescent="0.25">
      <c r="A17" s="45"/>
      <c r="B17" s="45"/>
      <c r="C17" s="54"/>
      <c r="D17" s="16"/>
      <c r="E17" s="16"/>
      <c r="F17" s="16"/>
      <c r="G17" s="16"/>
      <c r="H17" s="54"/>
      <c r="I17" s="59">
        <f>I14*I11</f>
        <v>16</v>
      </c>
      <c r="J17" s="59"/>
      <c r="K17" s="59"/>
      <c r="L17" s="59"/>
      <c r="M17" s="59"/>
      <c r="N17" s="59"/>
      <c r="O17" s="59"/>
      <c r="P17" s="54"/>
      <c r="Q17" s="27"/>
      <c r="R17" s="27"/>
      <c r="S17" s="27"/>
      <c r="T17" s="28"/>
      <c r="U17" s="24"/>
      <c r="V17" s="31"/>
      <c r="W17" s="3"/>
      <c r="X17" s="3"/>
      <c r="Y17" s="3"/>
      <c r="AB17" s="56"/>
      <c r="AC17" s="56"/>
      <c r="AD17" s="12"/>
    </row>
    <row r="18" spans="1:30" x14ac:dyDescent="0.25">
      <c r="A18" s="45"/>
      <c r="B18" s="45"/>
      <c r="C18" s="54"/>
      <c r="D18" s="2"/>
      <c r="E18" s="2"/>
      <c r="F18" s="2"/>
      <c r="G18" s="2"/>
      <c r="H18" s="54"/>
      <c r="I18" s="54"/>
      <c r="J18" s="54"/>
      <c r="K18" s="54"/>
      <c r="L18" s="54"/>
      <c r="M18" s="54"/>
      <c r="N18" s="54"/>
      <c r="O18" s="54"/>
      <c r="P18" s="54"/>
      <c r="Q18" s="27"/>
      <c r="R18" s="27"/>
      <c r="S18" s="27"/>
      <c r="T18" s="28"/>
      <c r="U18" s="2"/>
      <c r="V18" s="3"/>
      <c r="W18" s="3"/>
      <c r="X18" s="3"/>
      <c r="Y18" s="3"/>
      <c r="AB18" s="56"/>
      <c r="AC18" s="56"/>
      <c r="AD18" s="12"/>
    </row>
    <row r="19" spans="1:30" x14ac:dyDescent="0.25">
      <c r="A19" s="45"/>
      <c r="B19" s="45"/>
      <c r="C19" s="54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7"/>
      <c r="R19" s="27"/>
      <c r="S19" s="27"/>
      <c r="T19" s="28"/>
      <c r="U19" s="2"/>
      <c r="V19" s="3"/>
      <c r="W19" s="3"/>
      <c r="X19" s="3"/>
      <c r="Y19" s="3"/>
      <c r="AB19" s="56"/>
      <c r="AC19" s="56"/>
      <c r="AD19" s="12"/>
    </row>
    <row r="20" spans="1:30" x14ac:dyDescent="0.25">
      <c r="A20" s="45"/>
      <c r="B20" s="45"/>
      <c r="C20" s="54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7"/>
      <c r="R20" s="27"/>
      <c r="S20" s="27"/>
      <c r="T20" s="28"/>
      <c r="U20" s="24"/>
      <c r="V20" s="31"/>
      <c r="W20" s="3"/>
      <c r="X20" s="3"/>
      <c r="Y20" s="3"/>
      <c r="AB20" s="56"/>
      <c r="AC20" s="56"/>
      <c r="AD20" s="12"/>
    </row>
    <row r="21" spans="1:30" ht="15.75" x14ac:dyDescent="0.25">
      <c r="A21" s="45"/>
      <c r="B21" s="45"/>
      <c r="C21" s="54"/>
      <c r="D21" s="66" t="s">
        <v>9</v>
      </c>
      <c r="E21" s="66"/>
      <c r="F21" s="66"/>
      <c r="G21" s="66"/>
      <c r="H21" s="2"/>
      <c r="I21" s="29"/>
      <c r="J21" s="2"/>
      <c r="K21" s="2"/>
      <c r="L21" s="2"/>
      <c r="M21" s="8" t="s">
        <v>10</v>
      </c>
      <c r="N21" s="3"/>
      <c r="O21" s="3"/>
      <c r="P21" s="2"/>
      <c r="Q21" s="27"/>
      <c r="R21" s="27"/>
      <c r="S21" s="27"/>
      <c r="T21" s="28"/>
      <c r="U21" s="24"/>
      <c r="V21" s="31"/>
      <c r="W21" s="3"/>
      <c r="X21" s="3"/>
      <c r="Y21" s="3"/>
      <c r="AB21" s="56"/>
      <c r="AC21" s="56"/>
      <c r="AD21" s="12"/>
    </row>
    <row r="22" spans="1:30" ht="31.5" customHeight="1" x14ac:dyDescent="0.25">
      <c r="A22" s="45"/>
      <c r="B22" s="45"/>
      <c r="C22" s="54"/>
      <c r="D22" s="66"/>
      <c r="E22" s="66"/>
      <c r="F22" s="66"/>
      <c r="G22" s="66"/>
      <c r="H22" s="2"/>
      <c r="I22" s="54"/>
      <c r="J22" s="54"/>
      <c r="K22" s="54"/>
      <c r="L22" s="2"/>
      <c r="M22" s="59">
        <f>I14*I11</f>
        <v>16</v>
      </c>
      <c r="N22" s="59"/>
      <c r="O22" s="59"/>
      <c r="P22" s="2"/>
      <c r="Q22" s="27"/>
      <c r="R22" s="27"/>
      <c r="S22" s="27"/>
      <c r="T22" s="28"/>
      <c r="U22" s="24"/>
      <c r="V22" s="31"/>
      <c r="W22" s="3"/>
      <c r="X22" s="3"/>
      <c r="Y22" s="3"/>
      <c r="AB22" s="56"/>
      <c r="AC22" s="56"/>
      <c r="AD22" s="12"/>
    </row>
    <row r="23" spans="1:30" x14ac:dyDescent="0.25">
      <c r="A23" s="45"/>
      <c r="B23" s="45"/>
      <c r="C23" s="54"/>
      <c r="D23" s="66"/>
      <c r="E23" s="66"/>
      <c r="F23" s="66"/>
      <c r="G23" s="66"/>
      <c r="H23" s="2"/>
      <c r="I23" s="54"/>
      <c r="J23" s="54"/>
      <c r="K23" s="54"/>
      <c r="L23" s="2"/>
      <c r="M23" s="59"/>
      <c r="N23" s="59"/>
      <c r="O23" s="59"/>
      <c r="P23" s="2"/>
      <c r="Q23" s="27"/>
      <c r="R23" s="27"/>
      <c r="S23" s="27"/>
      <c r="T23" s="28"/>
      <c r="U23" s="24"/>
      <c r="V23" s="31"/>
      <c r="W23" s="3"/>
      <c r="X23" s="3"/>
      <c r="Y23" s="3"/>
      <c r="AB23" s="56"/>
      <c r="AC23" s="56"/>
      <c r="AD23" s="12"/>
    </row>
    <row r="24" spans="1:30" x14ac:dyDescent="0.25">
      <c r="A24" s="45"/>
      <c r="B24" s="45"/>
      <c r="C24" s="54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7"/>
      <c r="R24" s="27"/>
      <c r="S24" s="27"/>
      <c r="T24" s="28"/>
      <c r="U24" s="24"/>
      <c r="V24" s="31"/>
      <c r="W24" s="3"/>
      <c r="X24" s="3"/>
      <c r="Y24" s="3"/>
      <c r="AB24" s="56"/>
      <c r="AC24" s="56"/>
      <c r="AD24" s="12"/>
    </row>
    <row r="25" spans="1:30" ht="24" customHeight="1" x14ac:dyDescent="0.25">
      <c r="A25" s="45"/>
      <c r="B25" s="45"/>
      <c r="C25" s="5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27"/>
      <c r="R25" s="27"/>
      <c r="S25" s="27"/>
      <c r="T25" s="28"/>
      <c r="U25" s="2"/>
      <c r="V25" s="3"/>
      <c r="W25" s="5"/>
      <c r="X25" s="5"/>
      <c r="Y25" s="3"/>
      <c r="AB25" s="56"/>
      <c r="AC25" s="56"/>
      <c r="AD25" s="12"/>
    </row>
    <row r="26" spans="1:30" x14ac:dyDescent="0.25">
      <c r="A26" s="45"/>
      <c r="B26" s="45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30"/>
      <c r="Q26" s="27"/>
      <c r="R26" s="27"/>
      <c r="S26" s="27"/>
      <c r="T26" s="28"/>
      <c r="U26" s="30"/>
      <c r="V26" s="22"/>
      <c r="W26" s="22"/>
      <c r="X26" s="22"/>
      <c r="Y26" s="22"/>
      <c r="AB26" s="56"/>
      <c r="AC26" s="56"/>
      <c r="AD26" s="12"/>
    </row>
    <row r="27" spans="1:30" x14ac:dyDescent="0.25">
      <c r="A27" s="12"/>
      <c r="B27" s="1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30"/>
      <c r="R27" s="30"/>
      <c r="S27" s="30"/>
      <c r="T27" s="32"/>
      <c r="U27" s="2"/>
      <c r="V27" s="12"/>
      <c r="W27" s="12"/>
      <c r="X27" s="12"/>
      <c r="Y27" s="12"/>
      <c r="Z27" s="12"/>
      <c r="AA27" s="12"/>
      <c r="AB27" s="56"/>
      <c r="AC27" s="56"/>
      <c r="AD27" s="12"/>
    </row>
    <row r="28" spans="1:30" x14ac:dyDescent="0.25">
      <c r="A28" s="12"/>
      <c r="B28" s="1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30"/>
      <c r="R28" s="30"/>
      <c r="S28" s="30"/>
      <c r="T28" s="32"/>
      <c r="U28" s="2"/>
      <c r="V28" s="3"/>
      <c r="W28" s="12"/>
      <c r="X28" s="12"/>
      <c r="Y28" s="12"/>
      <c r="Z28" s="12"/>
      <c r="AA28" s="12"/>
      <c r="AB28" s="56"/>
      <c r="AC28" s="56"/>
      <c r="AD28" s="12"/>
    </row>
    <row r="29" spans="1:30" x14ac:dyDescent="0.25">
      <c r="A29" s="12"/>
      <c r="B29" s="1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30"/>
      <c r="R29" s="30"/>
      <c r="S29" s="30"/>
      <c r="T29" s="32"/>
      <c r="U29" s="2"/>
      <c r="V29" s="12"/>
      <c r="W29" s="12"/>
      <c r="X29" s="12"/>
      <c r="Y29" s="12"/>
      <c r="Z29" s="12"/>
      <c r="AA29" s="12"/>
      <c r="AB29" s="56"/>
      <c r="AC29" s="56"/>
      <c r="AD29" s="12"/>
    </row>
    <row r="30" spans="1:30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3"/>
      <c r="Q30" s="31"/>
      <c r="R30" s="31"/>
      <c r="S30" s="31"/>
      <c r="T30" s="33"/>
      <c r="U30" s="3"/>
      <c r="V30" s="3"/>
      <c r="W30" s="12"/>
      <c r="X30" s="12"/>
      <c r="Y30" s="12"/>
      <c r="Z30" s="12"/>
      <c r="AA30" s="12"/>
      <c r="AB30" s="56"/>
      <c r="AC30" s="56"/>
      <c r="AD30" s="12"/>
    </row>
    <row r="31" spans="1:30" x14ac:dyDescent="0.25">
      <c r="P31" s="5"/>
      <c r="Q31" s="31"/>
      <c r="R31" s="31"/>
      <c r="S31" s="31"/>
      <c r="T31" s="33"/>
      <c r="U31" s="5"/>
      <c r="V31" s="5"/>
      <c r="AB31" s="56"/>
      <c r="AC31" s="56"/>
      <c r="AD31" s="12"/>
    </row>
    <row r="32" spans="1:30" x14ac:dyDescent="0.25">
      <c r="P32" s="5"/>
      <c r="Q32" s="31"/>
      <c r="R32" s="31"/>
      <c r="S32" s="31"/>
      <c r="T32" s="37"/>
      <c r="U32" s="5"/>
      <c r="V32" s="5"/>
      <c r="AB32" s="56"/>
      <c r="AC32" s="56"/>
      <c r="AD32" s="12"/>
    </row>
    <row r="33" spans="5:30" x14ac:dyDescent="0.25">
      <c r="Q33" s="31"/>
      <c r="R33" s="31"/>
      <c r="S33" s="31"/>
      <c r="T33" s="37"/>
      <c r="AB33" s="57"/>
      <c r="AC33" s="57"/>
      <c r="AD33" s="12"/>
    </row>
    <row r="34" spans="5:30" x14ac:dyDescent="0.25">
      <c r="Q34" s="31"/>
      <c r="R34" s="31"/>
      <c r="S34" s="31"/>
      <c r="T34" s="37"/>
    </row>
    <row r="35" spans="5:30" x14ac:dyDescent="0.25">
      <c r="E35" t="s">
        <v>11</v>
      </c>
      <c r="Q35" s="31"/>
      <c r="R35" s="31"/>
      <c r="S35" s="31"/>
      <c r="T35" s="37"/>
    </row>
    <row r="36" spans="5:30" x14ac:dyDescent="0.25">
      <c r="E36" s="10" t="s">
        <v>12</v>
      </c>
      <c r="F36" s="10" t="s">
        <v>13</v>
      </c>
      <c r="Q36" s="31"/>
      <c r="R36" s="31"/>
      <c r="S36" s="31"/>
      <c r="T36" s="38"/>
    </row>
    <row r="37" spans="5:30" x14ac:dyDescent="0.25">
      <c r="E37" s="9">
        <v>89</v>
      </c>
      <c r="F37" s="9" t="str">
        <f>IF(E37="","",IF(E37&lt;=99,"Cartão",IF(E37&gt;=100,"Dinheiro")))</f>
        <v>Cartão</v>
      </c>
      <c r="Q37" s="31"/>
      <c r="R37" s="31"/>
      <c r="S37" s="31"/>
      <c r="T37" s="38"/>
    </row>
    <row r="38" spans="5:30" x14ac:dyDescent="0.25">
      <c r="G38" s="5"/>
      <c r="Q38" s="31"/>
      <c r="R38" s="31"/>
      <c r="S38" s="31"/>
      <c r="T38" s="38"/>
    </row>
    <row r="39" spans="5:30" x14ac:dyDescent="0.25">
      <c r="Q39" s="31"/>
      <c r="R39" s="31"/>
      <c r="S39" s="31"/>
      <c r="T39" s="38"/>
    </row>
    <row r="40" spans="5:30" x14ac:dyDescent="0.25">
      <c r="Q40" s="31"/>
      <c r="R40" s="31"/>
      <c r="S40" s="31"/>
      <c r="T40" s="38"/>
    </row>
    <row r="41" spans="5:30" x14ac:dyDescent="0.25">
      <c r="Q41" s="31"/>
      <c r="R41" s="31"/>
      <c r="S41" s="31"/>
      <c r="T41" s="38"/>
    </row>
    <row r="42" spans="5:30" x14ac:dyDescent="0.25">
      <c r="Q42" s="31"/>
      <c r="R42" s="31"/>
      <c r="S42" s="31"/>
      <c r="T42" s="38"/>
    </row>
    <row r="43" spans="5:30" x14ac:dyDescent="0.25">
      <c r="Q43" s="31"/>
      <c r="R43" s="31"/>
      <c r="S43" s="31"/>
      <c r="T43" s="38"/>
    </row>
    <row r="44" spans="5:30" x14ac:dyDescent="0.25">
      <c r="Q44" s="31"/>
      <c r="R44" s="31"/>
      <c r="S44" s="31"/>
      <c r="T44" s="39"/>
    </row>
    <row r="45" spans="5:30" x14ac:dyDescent="0.25">
      <c r="Q45" s="31"/>
      <c r="R45" s="31"/>
      <c r="S45" s="31"/>
      <c r="T45" s="39"/>
    </row>
    <row r="46" spans="5:30" x14ac:dyDescent="0.25">
      <c r="Q46" s="31"/>
      <c r="R46" s="31"/>
      <c r="S46" s="31"/>
      <c r="T46" s="39"/>
    </row>
    <row r="47" spans="5:30" x14ac:dyDescent="0.25">
      <c r="Q47" s="34"/>
      <c r="R47" s="23"/>
      <c r="S47" s="23"/>
      <c r="T47" s="40"/>
    </row>
    <row r="48" spans="5:30" x14ac:dyDescent="0.25">
      <c r="Q48" s="31"/>
      <c r="R48" s="31"/>
      <c r="S48" s="31"/>
      <c r="T48" s="41"/>
    </row>
    <row r="49" spans="17:20" x14ac:dyDescent="0.25">
      <c r="Q49" s="31"/>
      <c r="R49" s="31"/>
      <c r="S49" s="31"/>
      <c r="T49" s="41"/>
    </row>
    <row r="50" spans="17:20" x14ac:dyDescent="0.25">
      <c r="Q50" s="31"/>
      <c r="R50" s="31"/>
      <c r="S50" s="31"/>
      <c r="T50" s="35"/>
    </row>
    <row r="51" spans="17:20" x14ac:dyDescent="0.25">
      <c r="Q51" s="31"/>
      <c r="R51" s="31"/>
      <c r="S51" s="31"/>
      <c r="T51" s="41"/>
    </row>
    <row r="52" spans="17:20" x14ac:dyDescent="0.25">
      <c r="Q52" s="31"/>
      <c r="R52" s="31"/>
      <c r="S52" s="31"/>
      <c r="T52" s="41"/>
    </row>
    <row r="53" spans="17:20" x14ac:dyDescent="0.25">
      <c r="Q53" s="31"/>
      <c r="R53" s="31"/>
      <c r="S53" s="31"/>
      <c r="T53" s="41"/>
    </row>
    <row r="54" spans="17:20" x14ac:dyDescent="0.25">
      <c r="Q54" s="31"/>
      <c r="R54" s="31"/>
      <c r="S54" s="31"/>
      <c r="T54" s="41"/>
    </row>
    <row r="55" spans="17:20" x14ac:dyDescent="0.25">
      <c r="Q55" s="31"/>
      <c r="R55" s="31"/>
      <c r="S55" s="31"/>
      <c r="T55" s="41"/>
    </row>
    <row r="56" spans="17:20" x14ac:dyDescent="0.25">
      <c r="Q56" s="31"/>
      <c r="R56" s="31"/>
      <c r="S56" s="31"/>
      <c r="T56" s="41"/>
    </row>
    <row r="57" spans="17:20" x14ac:dyDescent="0.25">
      <c r="Q57" s="31"/>
      <c r="R57" s="31"/>
      <c r="S57" s="31"/>
      <c r="T57" s="41"/>
    </row>
    <row r="58" spans="17:20" x14ac:dyDescent="0.25">
      <c r="Q58" s="31"/>
      <c r="R58" s="31"/>
      <c r="S58" s="31"/>
      <c r="T58" s="35"/>
    </row>
    <row r="59" spans="17:20" x14ac:dyDescent="0.25">
      <c r="Q59" s="31"/>
      <c r="R59" s="31"/>
      <c r="S59" s="31"/>
      <c r="T59" s="35"/>
    </row>
    <row r="60" spans="17:20" x14ac:dyDescent="0.25">
      <c r="Q60" s="31"/>
      <c r="R60" s="31"/>
      <c r="S60" s="31"/>
      <c r="T60" s="41"/>
    </row>
    <row r="61" spans="17:20" x14ac:dyDescent="0.25">
      <c r="Q61" s="31"/>
      <c r="R61" s="31"/>
      <c r="S61" s="31"/>
      <c r="T61" s="41"/>
    </row>
    <row r="62" spans="17:20" x14ac:dyDescent="0.25">
      <c r="Q62" s="31"/>
      <c r="R62" s="31"/>
      <c r="S62" s="31"/>
      <c r="T62" s="35"/>
    </row>
    <row r="63" spans="17:20" x14ac:dyDescent="0.25">
      <c r="Q63" s="31"/>
      <c r="R63" s="31"/>
      <c r="S63" s="31"/>
      <c r="T63" s="35"/>
    </row>
    <row r="64" spans="17:20" x14ac:dyDescent="0.25">
      <c r="Q64" s="31"/>
      <c r="R64" s="31"/>
      <c r="S64" s="31"/>
      <c r="T64" s="35"/>
    </row>
    <row r="65" spans="17:20" x14ac:dyDescent="0.25">
      <c r="Q65" s="31"/>
      <c r="R65" s="31"/>
      <c r="S65" s="31"/>
      <c r="T65" s="35"/>
    </row>
    <row r="66" spans="17:20" x14ac:dyDescent="0.25">
      <c r="Q66" s="31"/>
      <c r="R66" s="31"/>
      <c r="S66" s="31"/>
      <c r="T66" s="35"/>
    </row>
    <row r="67" spans="17:20" x14ac:dyDescent="0.25">
      <c r="Q67" s="31"/>
      <c r="R67" s="31"/>
      <c r="S67" s="31"/>
      <c r="T67" s="36"/>
    </row>
    <row r="68" spans="17:20" x14ac:dyDescent="0.25">
      <c r="Q68" s="31"/>
      <c r="R68" s="31"/>
      <c r="S68" s="22"/>
      <c r="T68" s="35"/>
    </row>
    <row r="69" spans="17:20" x14ac:dyDescent="0.25">
      <c r="Q69" s="31"/>
      <c r="R69" s="31"/>
      <c r="S69" s="22"/>
      <c r="T69" s="41"/>
    </row>
    <row r="70" spans="17:20" x14ac:dyDescent="0.25">
      <c r="Q70" s="31"/>
      <c r="R70" s="22"/>
      <c r="S70" s="22"/>
      <c r="T70" s="41"/>
    </row>
    <row r="71" spans="17:20" x14ac:dyDescent="0.25">
      <c r="Q71" s="31"/>
      <c r="R71" s="22"/>
      <c r="S71" s="22"/>
      <c r="T71" s="41"/>
    </row>
    <row r="72" spans="17:20" x14ac:dyDescent="0.25">
      <c r="Q72" s="31"/>
      <c r="R72" s="22"/>
      <c r="S72" s="22"/>
      <c r="T72" s="41"/>
    </row>
    <row r="73" spans="17:20" x14ac:dyDescent="0.25">
      <c r="Q73" s="22"/>
      <c r="R73" s="22"/>
      <c r="S73" s="22"/>
      <c r="T73" s="36"/>
    </row>
    <row r="74" spans="17:20" x14ac:dyDescent="0.25">
      <c r="Q74" s="22"/>
      <c r="R74" s="22"/>
      <c r="S74" s="22"/>
      <c r="T74" s="36"/>
    </row>
    <row r="75" spans="17:20" x14ac:dyDescent="0.25">
      <c r="Q75" s="22"/>
      <c r="R75" s="22"/>
      <c r="S75" s="22"/>
      <c r="T75" s="36"/>
    </row>
    <row r="76" spans="17:20" x14ac:dyDescent="0.25">
      <c r="Q76" s="22"/>
      <c r="R76" s="22"/>
      <c r="S76" s="22"/>
      <c r="T76" s="36"/>
    </row>
    <row r="77" spans="17:20" x14ac:dyDescent="0.25">
      <c r="Q77" s="22"/>
      <c r="R77" s="22"/>
      <c r="S77" s="22"/>
      <c r="T77" s="36"/>
    </row>
    <row r="78" spans="17:20" x14ac:dyDescent="0.25">
      <c r="Q78" s="22"/>
      <c r="R78" s="22"/>
      <c r="S78" s="22"/>
      <c r="T78" s="36"/>
    </row>
    <row r="79" spans="17:20" x14ac:dyDescent="0.25">
      <c r="Q79" s="22"/>
      <c r="R79" s="22"/>
      <c r="S79" s="22"/>
      <c r="T79" s="36"/>
    </row>
    <row r="80" spans="17:20" x14ac:dyDescent="0.25">
      <c r="Q80" s="22"/>
      <c r="R80" s="22"/>
      <c r="S80" s="22"/>
      <c r="T80" s="36"/>
    </row>
    <row r="81" spans="17:20" x14ac:dyDescent="0.25">
      <c r="Q81" s="22"/>
      <c r="R81" s="22"/>
      <c r="S81" s="22"/>
      <c r="T81" s="36"/>
    </row>
    <row r="82" spans="17:20" x14ac:dyDescent="0.25">
      <c r="Q82" s="22"/>
      <c r="R82" s="22"/>
      <c r="S82" s="22"/>
      <c r="T82" s="36"/>
    </row>
    <row r="83" spans="17:20" x14ac:dyDescent="0.25">
      <c r="Q83" s="22"/>
      <c r="R83" s="22"/>
      <c r="S83" s="22"/>
      <c r="T83" s="36"/>
    </row>
    <row r="84" spans="17:20" x14ac:dyDescent="0.25">
      <c r="Q84" s="22"/>
      <c r="R84" s="22"/>
      <c r="S84" s="22"/>
      <c r="T84" s="36"/>
    </row>
    <row r="85" spans="17:20" x14ac:dyDescent="0.25">
      <c r="Q85" s="22"/>
      <c r="R85" s="22"/>
      <c r="S85" s="22"/>
      <c r="T85" s="36"/>
    </row>
    <row r="86" spans="17:20" x14ac:dyDescent="0.25">
      <c r="Q86" s="22"/>
      <c r="R86" s="22"/>
      <c r="S86" s="22"/>
      <c r="T86" s="36"/>
    </row>
    <row r="87" spans="17:20" x14ac:dyDescent="0.25">
      <c r="Q87" s="22"/>
      <c r="R87" s="22"/>
      <c r="S87" s="22"/>
      <c r="T87" s="36"/>
    </row>
    <row r="88" spans="17:20" x14ac:dyDescent="0.25">
      <c r="Q88" s="22"/>
      <c r="R88" s="22"/>
      <c r="S88" s="22"/>
      <c r="T88" s="36"/>
    </row>
    <row r="89" spans="17:20" x14ac:dyDescent="0.25">
      <c r="Q89" s="22"/>
      <c r="R89" s="22"/>
      <c r="S89" s="22"/>
      <c r="T89" s="36"/>
    </row>
    <row r="90" spans="17:20" x14ac:dyDescent="0.25">
      <c r="Q90" s="22"/>
      <c r="R90" s="22"/>
      <c r="S90" s="22"/>
      <c r="T90" s="36"/>
    </row>
    <row r="91" spans="17:20" x14ac:dyDescent="0.25">
      <c r="Q91" s="22"/>
      <c r="R91" s="22"/>
      <c r="S91" s="22"/>
      <c r="T91" s="36"/>
    </row>
    <row r="92" spans="17:20" x14ac:dyDescent="0.25">
      <c r="Q92" s="22"/>
      <c r="R92" s="22"/>
      <c r="S92" s="22"/>
      <c r="T92" s="36"/>
    </row>
    <row r="93" spans="17:20" x14ac:dyDescent="0.25">
      <c r="Q93" s="22"/>
      <c r="R93" s="22"/>
      <c r="S93" s="22"/>
      <c r="T93" s="42"/>
    </row>
    <row r="94" spans="17:20" x14ac:dyDescent="0.25">
      <c r="Q94" s="22"/>
      <c r="R94" s="22"/>
      <c r="S94" s="22"/>
    </row>
    <row r="95" spans="17:20" x14ac:dyDescent="0.25">
      <c r="Q95" s="22"/>
      <c r="R95" s="22"/>
      <c r="S95" s="22"/>
    </row>
    <row r="96" spans="17:20" x14ac:dyDescent="0.25">
      <c r="Q96" s="22"/>
      <c r="R96" s="22"/>
      <c r="S96" s="22"/>
    </row>
    <row r="97" spans="17:19" x14ac:dyDescent="0.25">
      <c r="Q97" s="22"/>
      <c r="R97" s="22"/>
      <c r="S97" s="22"/>
    </row>
    <row r="98" spans="17:19" x14ac:dyDescent="0.25">
      <c r="Q98" s="22"/>
      <c r="R98" s="22"/>
      <c r="S98" s="22"/>
    </row>
    <row r="99" spans="17:19" x14ac:dyDescent="0.25">
      <c r="Q99" s="22"/>
      <c r="R99" s="22"/>
      <c r="S99" s="22"/>
    </row>
    <row r="100" spans="17:19" x14ac:dyDescent="0.25">
      <c r="Q100" s="22"/>
      <c r="R100" s="22"/>
      <c r="S100" s="22"/>
    </row>
    <row r="101" spans="17:19" x14ac:dyDescent="0.25">
      <c r="Q101" s="22"/>
      <c r="R101" s="22"/>
      <c r="S101" s="22"/>
    </row>
    <row r="102" spans="17:19" x14ac:dyDescent="0.25">
      <c r="Q102" s="22"/>
      <c r="R102" s="22"/>
      <c r="S102" s="22"/>
    </row>
    <row r="103" spans="17:19" x14ac:dyDescent="0.25">
      <c r="Q103" s="22"/>
      <c r="R103" s="22"/>
      <c r="S103" s="22"/>
    </row>
    <row r="104" spans="17:19" x14ac:dyDescent="0.25">
      <c r="Q104" s="22"/>
      <c r="R104" s="22"/>
      <c r="S104" s="22"/>
    </row>
    <row r="105" spans="17:19" x14ac:dyDescent="0.25">
      <c r="Q105" s="22"/>
      <c r="R105" s="22"/>
      <c r="S105" s="22"/>
    </row>
    <row r="106" spans="17:19" x14ac:dyDescent="0.25">
      <c r="Q106" s="22"/>
      <c r="R106" s="22"/>
      <c r="S106" s="22"/>
    </row>
    <row r="107" spans="17:19" x14ac:dyDescent="0.25">
      <c r="Q107" s="22"/>
      <c r="R107" s="22"/>
      <c r="S107" s="22"/>
    </row>
    <row r="108" spans="17:19" x14ac:dyDescent="0.25">
      <c r="Q108" s="22"/>
      <c r="R108" s="22"/>
      <c r="S108" s="22"/>
    </row>
    <row r="109" spans="17:19" x14ac:dyDescent="0.25">
      <c r="Q109" s="22"/>
      <c r="R109" s="22"/>
      <c r="S109" s="22"/>
    </row>
    <row r="110" spans="17:19" x14ac:dyDescent="0.25">
      <c r="Q110" s="22"/>
      <c r="R110" s="22"/>
      <c r="S110" s="22"/>
    </row>
    <row r="111" spans="17:19" x14ac:dyDescent="0.25">
      <c r="Q111" s="22"/>
      <c r="R111" s="22"/>
      <c r="S111" s="22"/>
    </row>
    <row r="112" spans="17:19" x14ac:dyDescent="0.25">
      <c r="Q112" s="22"/>
      <c r="R112" s="22"/>
      <c r="S112" s="22"/>
    </row>
    <row r="113" spans="17:19" x14ac:dyDescent="0.25">
      <c r="Q113" s="22"/>
      <c r="R113" s="22"/>
      <c r="S113" s="22"/>
    </row>
    <row r="114" spans="17:19" x14ac:dyDescent="0.25">
      <c r="Q114" s="22"/>
      <c r="R114" s="22"/>
      <c r="S114" s="22"/>
    </row>
    <row r="115" spans="17:19" x14ac:dyDescent="0.25">
      <c r="Q115" s="22"/>
      <c r="R115" s="22"/>
      <c r="S115" s="22"/>
    </row>
    <row r="116" spans="17:19" x14ac:dyDescent="0.25">
      <c r="Q116" s="22"/>
      <c r="R116" s="22"/>
      <c r="S116" s="22"/>
    </row>
    <row r="117" spans="17:19" x14ac:dyDescent="0.25">
      <c r="Q117" s="22"/>
      <c r="R117" s="22"/>
      <c r="S117" s="22"/>
    </row>
    <row r="118" spans="17:19" x14ac:dyDescent="0.25">
      <c r="Q118" s="22"/>
      <c r="R118" s="22"/>
      <c r="S118" s="22"/>
    </row>
    <row r="119" spans="17:19" x14ac:dyDescent="0.25">
      <c r="Q119" s="22"/>
      <c r="R119" s="22"/>
      <c r="S119" s="22"/>
    </row>
    <row r="120" spans="17:19" x14ac:dyDescent="0.25">
      <c r="Q120" s="22"/>
      <c r="R120" s="22"/>
      <c r="S120" s="22"/>
    </row>
    <row r="121" spans="17:19" x14ac:dyDescent="0.25">
      <c r="Q121" s="22"/>
      <c r="S121" s="22"/>
    </row>
    <row r="122" spans="17:19" x14ac:dyDescent="0.25">
      <c r="Q122" s="22"/>
      <c r="S122" s="22"/>
    </row>
    <row r="123" spans="17:19" x14ac:dyDescent="0.25">
      <c r="Q123" s="22"/>
      <c r="S123" s="22"/>
    </row>
    <row r="124" spans="17:19" x14ac:dyDescent="0.25">
      <c r="Q124" s="22"/>
      <c r="S124" s="22"/>
    </row>
    <row r="125" spans="17:19" x14ac:dyDescent="0.25">
      <c r="Q125" s="22"/>
      <c r="S125" s="22"/>
    </row>
    <row r="126" spans="17:19" x14ac:dyDescent="0.25">
      <c r="Q126" s="22"/>
      <c r="S126" s="22"/>
    </row>
    <row r="127" spans="17:19" x14ac:dyDescent="0.25">
      <c r="Q127" s="22"/>
      <c r="S127" s="22"/>
    </row>
    <row r="128" spans="17:19" x14ac:dyDescent="0.25">
      <c r="Q128" s="22"/>
      <c r="S128" s="22"/>
    </row>
    <row r="129" spans="17:19" x14ac:dyDescent="0.25">
      <c r="Q129" s="22"/>
      <c r="S129" s="22"/>
    </row>
    <row r="130" spans="17:19" x14ac:dyDescent="0.25">
      <c r="Q130" s="22"/>
      <c r="S130" s="22"/>
    </row>
    <row r="131" spans="17:19" x14ac:dyDescent="0.25">
      <c r="Q131" s="22"/>
      <c r="S131" s="22"/>
    </row>
    <row r="132" spans="17:19" x14ac:dyDescent="0.25">
      <c r="Q132" s="22"/>
      <c r="S132" s="22"/>
    </row>
    <row r="133" spans="17:19" x14ac:dyDescent="0.25">
      <c r="Q133" s="22"/>
      <c r="S133" s="22"/>
    </row>
    <row r="134" spans="17:19" x14ac:dyDescent="0.25">
      <c r="Q134" s="22"/>
      <c r="S134" s="22"/>
    </row>
    <row r="135" spans="17:19" x14ac:dyDescent="0.25">
      <c r="Q135" s="22"/>
      <c r="S135" s="22"/>
    </row>
    <row r="136" spans="17:19" x14ac:dyDescent="0.25">
      <c r="Q136" s="22"/>
      <c r="S136" s="22"/>
    </row>
    <row r="137" spans="17:19" x14ac:dyDescent="0.25">
      <c r="Q137" s="22"/>
      <c r="S137" s="22"/>
    </row>
    <row r="138" spans="17:19" x14ac:dyDescent="0.25">
      <c r="Q138" s="22"/>
      <c r="S138" s="22"/>
    </row>
    <row r="139" spans="17:19" x14ac:dyDescent="0.25">
      <c r="Q139" s="22"/>
      <c r="S139" s="22"/>
    </row>
    <row r="140" spans="17:19" x14ac:dyDescent="0.25">
      <c r="Q140" s="22"/>
      <c r="S140" s="22"/>
    </row>
    <row r="141" spans="17:19" x14ac:dyDescent="0.25">
      <c r="Q141" s="22"/>
      <c r="S141" s="22"/>
    </row>
    <row r="142" spans="17:19" x14ac:dyDescent="0.25">
      <c r="Q142" s="22"/>
      <c r="S142" s="22"/>
    </row>
    <row r="143" spans="17:19" x14ac:dyDescent="0.25">
      <c r="Q143" s="22"/>
      <c r="S143" s="22"/>
    </row>
    <row r="144" spans="17:19" x14ac:dyDescent="0.25">
      <c r="Q144" s="22"/>
      <c r="S144" s="22"/>
    </row>
    <row r="145" spans="17:19" x14ac:dyDescent="0.25">
      <c r="Q145" s="22"/>
      <c r="S145" s="22"/>
    </row>
    <row r="146" spans="17:19" x14ac:dyDescent="0.25">
      <c r="Q146" s="22"/>
      <c r="S146" s="22"/>
    </row>
    <row r="147" spans="17:19" x14ac:dyDescent="0.25">
      <c r="Q147" s="22"/>
      <c r="S147" s="22"/>
    </row>
    <row r="148" spans="17:19" x14ac:dyDescent="0.25">
      <c r="Q148" s="22"/>
      <c r="S148" s="22"/>
    </row>
    <row r="149" spans="17:19" x14ac:dyDescent="0.25">
      <c r="Q149" s="22"/>
      <c r="S149" s="22"/>
    </row>
    <row r="150" spans="17:19" x14ac:dyDescent="0.25">
      <c r="Q150" s="22"/>
      <c r="S150" s="22"/>
    </row>
    <row r="151" spans="17:19" x14ac:dyDescent="0.25">
      <c r="Q151" s="22"/>
      <c r="S151" s="22"/>
    </row>
    <row r="152" spans="17:19" x14ac:dyDescent="0.25">
      <c r="Q152" s="22"/>
      <c r="S152" s="22"/>
    </row>
    <row r="153" spans="17:19" x14ac:dyDescent="0.25">
      <c r="Q153" s="22"/>
      <c r="S153" s="22"/>
    </row>
    <row r="154" spans="17:19" x14ac:dyDescent="0.25">
      <c r="Q154" s="22"/>
      <c r="S154" s="22"/>
    </row>
    <row r="155" spans="17:19" x14ac:dyDescent="0.25">
      <c r="Q155" s="22"/>
      <c r="S155" s="22"/>
    </row>
    <row r="156" spans="17:19" x14ac:dyDescent="0.25">
      <c r="Q156" s="22"/>
      <c r="S156" s="22"/>
    </row>
    <row r="157" spans="17:19" x14ac:dyDescent="0.25">
      <c r="Q157" s="22"/>
      <c r="S157" s="22"/>
    </row>
    <row r="158" spans="17:19" x14ac:dyDescent="0.25">
      <c r="Q158" s="22"/>
      <c r="S158" s="22"/>
    </row>
    <row r="159" spans="17:19" x14ac:dyDescent="0.25">
      <c r="Q159" s="22"/>
      <c r="S159" s="22"/>
    </row>
    <row r="160" spans="17:19" x14ac:dyDescent="0.25">
      <c r="Q160" s="22"/>
      <c r="S160" s="22"/>
    </row>
    <row r="161" spans="10:19" x14ac:dyDescent="0.25">
      <c r="Q161" s="22"/>
      <c r="S161" s="22"/>
    </row>
    <row r="162" spans="10:19" x14ac:dyDescent="0.25">
      <c r="Q162" s="22"/>
      <c r="S162" s="22"/>
    </row>
    <row r="163" spans="10:19" x14ac:dyDescent="0.25">
      <c r="Q163" s="22"/>
      <c r="S163" s="22"/>
    </row>
    <row r="164" spans="10:19" x14ac:dyDescent="0.25">
      <c r="Q164" s="22"/>
      <c r="S164" s="22"/>
    </row>
    <row r="165" spans="10:19" x14ac:dyDescent="0.25">
      <c r="Q165" s="22"/>
      <c r="S165" s="22"/>
    </row>
    <row r="166" spans="10:19" x14ac:dyDescent="0.25">
      <c r="Q166" s="22"/>
      <c r="S166" s="22"/>
    </row>
    <row r="167" spans="10:19" x14ac:dyDescent="0.25">
      <c r="Q167" s="22"/>
      <c r="S167" s="22"/>
    </row>
    <row r="168" spans="10:19" x14ac:dyDescent="0.25">
      <c r="Q168" s="22"/>
      <c r="S168" s="22"/>
    </row>
    <row r="169" spans="10:19" x14ac:dyDescent="0.25">
      <c r="J169" s="12"/>
      <c r="K169" s="12"/>
      <c r="L169" s="12"/>
      <c r="Q169" s="22"/>
      <c r="S169" s="22"/>
    </row>
    <row r="170" spans="10:19" x14ac:dyDescent="0.25">
      <c r="J170" s="12"/>
      <c r="K170" s="12"/>
      <c r="L170" s="12"/>
      <c r="Q170" s="22"/>
      <c r="S170" s="22"/>
    </row>
    <row r="171" spans="10:19" x14ac:dyDescent="0.25">
      <c r="J171" s="12"/>
      <c r="K171" s="12"/>
      <c r="L171" s="12"/>
      <c r="Q171" s="22"/>
      <c r="S171" s="22"/>
    </row>
    <row r="172" spans="10:19" x14ac:dyDescent="0.25">
      <c r="J172" s="12"/>
      <c r="K172" s="12"/>
      <c r="L172" s="12"/>
      <c r="Q172" s="22"/>
      <c r="S172" s="22"/>
    </row>
    <row r="173" spans="10:19" x14ac:dyDescent="0.25">
      <c r="Q173" s="22"/>
      <c r="S173" s="22"/>
    </row>
    <row r="174" spans="10:19" x14ac:dyDescent="0.25">
      <c r="Q174" s="22"/>
      <c r="S174" s="22"/>
    </row>
    <row r="175" spans="10:19" x14ac:dyDescent="0.25">
      <c r="Q175" s="22"/>
      <c r="S175" s="22"/>
    </row>
    <row r="176" spans="10:19" x14ac:dyDescent="0.25">
      <c r="Q176" s="22"/>
      <c r="S176" s="22"/>
    </row>
    <row r="177" spans="17:19" x14ac:dyDescent="0.25">
      <c r="Q177" s="22"/>
      <c r="S177" s="22"/>
    </row>
    <row r="178" spans="17:19" x14ac:dyDescent="0.25">
      <c r="Q178" s="22"/>
      <c r="S178" s="22"/>
    </row>
    <row r="179" spans="17:19" x14ac:dyDescent="0.25">
      <c r="Q179" s="22"/>
      <c r="S179" s="22"/>
    </row>
    <row r="180" spans="17:19" x14ac:dyDescent="0.25">
      <c r="Q180" s="22"/>
      <c r="S180" s="22"/>
    </row>
    <row r="181" spans="17:19" x14ac:dyDescent="0.25">
      <c r="Q181" s="22"/>
      <c r="S181" s="22"/>
    </row>
    <row r="182" spans="17:19" x14ac:dyDescent="0.25">
      <c r="Q182" s="22"/>
      <c r="S182" s="22"/>
    </row>
    <row r="183" spans="17:19" x14ac:dyDescent="0.25">
      <c r="Q183" s="22"/>
      <c r="S183" s="22"/>
    </row>
    <row r="184" spans="17:19" x14ac:dyDescent="0.25">
      <c r="Q184" s="22"/>
      <c r="S184" s="22"/>
    </row>
    <row r="185" spans="17:19" x14ac:dyDescent="0.25">
      <c r="Q185" s="22"/>
      <c r="S185" s="22"/>
    </row>
    <row r="186" spans="17:19" x14ac:dyDescent="0.25">
      <c r="Q186" s="22"/>
      <c r="S186" s="22"/>
    </row>
    <row r="187" spans="17:19" x14ac:dyDescent="0.25">
      <c r="Q187" s="22"/>
      <c r="S187" s="22"/>
    </row>
    <row r="188" spans="17:19" x14ac:dyDescent="0.25">
      <c r="Q188" s="22"/>
      <c r="S188" s="22"/>
    </row>
    <row r="189" spans="17:19" x14ac:dyDescent="0.25">
      <c r="Q189" s="22"/>
      <c r="S189" s="22"/>
    </row>
    <row r="190" spans="17:19" x14ac:dyDescent="0.25">
      <c r="Q190" s="22"/>
      <c r="S190" s="22"/>
    </row>
    <row r="191" spans="17:19" x14ac:dyDescent="0.25">
      <c r="Q191" s="22"/>
      <c r="S191" s="22"/>
    </row>
    <row r="192" spans="17:19" x14ac:dyDescent="0.25">
      <c r="Q192" s="22"/>
      <c r="S192" s="22"/>
    </row>
    <row r="193" spans="17:19" x14ac:dyDescent="0.25">
      <c r="Q193" s="22"/>
      <c r="S193" s="22"/>
    </row>
    <row r="194" spans="17:19" x14ac:dyDescent="0.25">
      <c r="Q194" s="22"/>
      <c r="S194" s="22"/>
    </row>
    <row r="195" spans="17:19" x14ac:dyDescent="0.25">
      <c r="Q195" s="22"/>
      <c r="S195" s="22"/>
    </row>
    <row r="196" spans="17:19" x14ac:dyDescent="0.25">
      <c r="Q196" s="22"/>
      <c r="S196" s="22"/>
    </row>
    <row r="197" spans="17:19" x14ac:dyDescent="0.25">
      <c r="Q197" s="22"/>
      <c r="S197" s="22"/>
    </row>
    <row r="198" spans="17:19" x14ac:dyDescent="0.25">
      <c r="Q198" s="22"/>
      <c r="S198" s="22"/>
    </row>
    <row r="199" spans="17:19" x14ac:dyDescent="0.25">
      <c r="Q199" s="22"/>
      <c r="S199" s="22"/>
    </row>
    <row r="200" spans="17:19" x14ac:dyDescent="0.25">
      <c r="Q200" s="22"/>
      <c r="S200" s="22"/>
    </row>
    <row r="201" spans="17:19" x14ac:dyDescent="0.25">
      <c r="Q201" s="22"/>
      <c r="S201" s="22"/>
    </row>
    <row r="202" spans="17:19" x14ac:dyDescent="0.25">
      <c r="Q202" s="22"/>
      <c r="S202" s="22"/>
    </row>
    <row r="203" spans="17:19" x14ac:dyDescent="0.25">
      <c r="Q203" s="22"/>
      <c r="S203" s="22"/>
    </row>
    <row r="204" spans="17:19" x14ac:dyDescent="0.25">
      <c r="Q204" s="22"/>
      <c r="S204" s="22"/>
    </row>
    <row r="205" spans="17:19" x14ac:dyDescent="0.25">
      <c r="Q205" s="22"/>
      <c r="S205" s="22"/>
    </row>
    <row r="206" spans="17:19" x14ac:dyDescent="0.25">
      <c r="Q206" s="22"/>
      <c r="S206" s="22"/>
    </row>
    <row r="207" spans="17:19" x14ac:dyDescent="0.25">
      <c r="Q207" s="22"/>
      <c r="S207" s="22"/>
    </row>
    <row r="208" spans="17:19" x14ac:dyDescent="0.25">
      <c r="Q208" s="22"/>
      <c r="S208" s="22"/>
    </row>
    <row r="209" spans="17:19" x14ac:dyDescent="0.25">
      <c r="Q209" s="22"/>
      <c r="S209" s="22"/>
    </row>
    <row r="210" spans="17:19" x14ac:dyDescent="0.25">
      <c r="Q210" s="22"/>
      <c r="S210" s="22"/>
    </row>
    <row r="211" spans="17:19" x14ac:dyDescent="0.25">
      <c r="Q211" s="22"/>
      <c r="S211" s="22"/>
    </row>
    <row r="212" spans="17:19" x14ac:dyDescent="0.25">
      <c r="Q212" s="22"/>
      <c r="S212" s="22"/>
    </row>
    <row r="213" spans="17:19" x14ac:dyDescent="0.25">
      <c r="Q213" s="22"/>
      <c r="S213" s="22"/>
    </row>
    <row r="214" spans="17:19" x14ac:dyDescent="0.25">
      <c r="Q214" s="22"/>
      <c r="S214" s="22"/>
    </row>
    <row r="215" spans="17:19" x14ac:dyDescent="0.25">
      <c r="Q215" s="22"/>
      <c r="S215" s="22"/>
    </row>
    <row r="216" spans="17:19" x14ac:dyDescent="0.25">
      <c r="Q216" s="22"/>
      <c r="S216" s="22"/>
    </row>
    <row r="217" spans="17:19" x14ac:dyDescent="0.25">
      <c r="Q217" s="22"/>
      <c r="S217" s="22"/>
    </row>
    <row r="218" spans="17:19" x14ac:dyDescent="0.25">
      <c r="Q218" s="22"/>
      <c r="S218" s="22"/>
    </row>
    <row r="219" spans="17:19" x14ac:dyDescent="0.25">
      <c r="Q219" s="22"/>
      <c r="S219" s="22"/>
    </row>
    <row r="220" spans="17:19" x14ac:dyDescent="0.25">
      <c r="Q220" s="22"/>
      <c r="S220" s="22"/>
    </row>
    <row r="221" spans="17:19" x14ac:dyDescent="0.25">
      <c r="Q221" s="22"/>
      <c r="S221" s="22"/>
    </row>
    <row r="222" spans="17:19" x14ac:dyDescent="0.25">
      <c r="Q222" s="22"/>
      <c r="S222" s="22"/>
    </row>
    <row r="223" spans="17:19" x14ac:dyDescent="0.25">
      <c r="Q223" s="22"/>
      <c r="S223" s="22"/>
    </row>
    <row r="224" spans="17:19" x14ac:dyDescent="0.25">
      <c r="Q224" s="22"/>
      <c r="S224" s="22"/>
    </row>
    <row r="225" spans="17:19" x14ac:dyDescent="0.25">
      <c r="Q225" s="22"/>
      <c r="S225" s="22"/>
    </row>
    <row r="226" spans="17:19" x14ac:dyDescent="0.25">
      <c r="Q226" s="22"/>
      <c r="S226" s="22"/>
    </row>
    <row r="227" spans="17:19" x14ac:dyDescent="0.25">
      <c r="Q227" s="22"/>
      <c r="S227" s="22"/>
    </row>
    <row r="228" spans="17:19" x14ac:dyDescent="0.25">
      <c r="Q228" s="22"/>
      <c r="S228" s="22"/>
    </row>
    <row r="229" spans="17:19" x14ac:dyDescent="0.25">
      <c r="Q229" s="22"/>
      <c r="S229" s="22"/>
    </row>
    <row r="230" spans="17:19" x14ac:dyDescent="0.25">
      <c r="Q230" s="22"/>
      <c r="S230" s="22"/>
    </row>
    <row r="231" spans="17:19" x14ac:dyDescent="0.25">
      <c r="Q231" s="22"/>
      <c r="S231" s="22"/>
    </row>
    <row r="232" spans="17:19" x14ac:dyDescent="0.25">
      <c r="Q232" s="22"/>
      <c r="S232" s="22"/>
    </row>
    <row r="233" spans="17:19" x14ac:dyDescent="0.25">
      <c r="Q233" s="22"/>
      <c r="S233" s="22"/>
    </row>
    <row r="234" spans="17:19" x14ac:dyDescent="0.25">
      <c r="Q234" s="22"/>
      <c r="S234" s="22"/>
    </row>
    <row r="235" spans="17:19" x14ac:dyDescent="0.25">
      <c r="Q235" s="22"/>
      <c r="S235" s="22"/>
    </row>
    <row r="236" spans="17:19" x14ac:dyDescent="0.25">
      <c r="Q236" s="22"/>
      <c r="S236" s="22"/>
    </row>
    <row r="237" spans="17:19" x14ac:dyDescent="0.25">
      <c r="Q237" s="22"/>
      <c r="S237" s="22"/>
    </row>
    <row r="238" spans="17:19" x14ac:dyDescent="0.25">
      <c r="Q238" s="22"/>
      <c r="S238" s="22"/>
    </row>
    <row r="239" spans="17:19" x14ac:dyDescent="0.25">
      <c r="Q239" s="22"/>
      <c r="S239" s="22"/>
    </row>
    <row r="240" spans="17:19" x14ac:dyDescent="0.25">
      <c r="Q240" s="22"/>
      <c r="S240" s="22"/>
    </row>
    <row r="241" spans="17:19" x14ac:dyDescent="0.25">
      <c r="Q241" s="22"/>
      <c r="S241" s="22"/>
    </row>
    <row r="242" spans="17:19" x14ac:dyDescent="0.25">
      <c r="Q242" s="22"/>
      <c r="S242" s="22"/>
    </row>
    <row r="243" spans="17:19" x14ac:dyDescent="0.25">
      <c r="Q243" s="22"/>
      <c r="S243" s="22"/>
    </row>
    <row r="244" spans="17:19" x14ac:dyDescent="0.25">
      <c r="Q244" s="22"/>
      <c r="S244" s="22"/>
    </row>
    <row r="245" spans="17:19" x14ac:dyDescent="0.25">
      <c r="Q245" s="22"/>
      <c r="S245" s="22"/>
    </row>
    <row r="246" spans="17:19" x14ac:dyDescent="0.25">
      <c r="Q246" s="22"/>
      <c r="S246" s="22"/>
    </row>
    <row r="247" spans="17:19" x14ac:dyDescent="0.25">
      <c r="Q247" s="22"/>
      <c r="S247" s="22"/>
    </row>
    <row r="248" spans="17:19" x14ac:dyDescent="0.25">
      <c r="Q248" s="22"/>
      <c r="S248" s="22"/>
    </row>
    <row r="249" spans="17:19" x14ac:dyDescent="0.25">
      <c r="Q249" s="22"/>
      <c r="S249" s="22"/>
    </row>
    <row r="250" spans="17:19" x14ac:dyDescent="0.25">
      <c r="Q250" s="22"/>
      <c r="S250" s="22"/>
    </row>
    <row r="251" spans="17:19" x14ac:dyDescent="0.25">
      <c r="Q251" s="22"/>
      <c r="S251" s="22"/>
    </row>
    <row r="252" spans="17:19" x14ac:dyDescent="0.25">
      <c r="Q252" s="22"/>
      <c r="S252" s="22"/>
    </row>
    <row r="253" spans="17:19" x14ac:dyDescent="0.25">
      <c r="Q253" s="22"/>
      <c r="S253" s="22"/>
    </row>
    <row r="254" spans="17:19" x14ac:dyDescent="0.25">
      <c r="Q254" s="22"/>
      <c r="S254" s="22"/>
    </row>
    <row r="255" spans="17:19" x14ac:dyDescent="0.25">
      <c r="Q255" s="22"/>
      <c r="S255" s="22"/>
    </row>
    <row r="256" spans="17:19" x14ac:dyDescent="0.25">
      <c r="Q256" s="22"/>
      <c r="S256" s="22"/>
    </row>
    <row r="257" spans="17:19" x14ac:dyDescent="0.25">
      <c r="Q257" s="22"/>
      <c r="S257" s="22"/>
    </row>
    <row r="258" spans="17:19" x14ac:dyDescent="0.25">
      <c r="Q258" s="22"/>
      <c r="S258" s="22"/>
    </row>
    <row r="259" spans="17:19" x14ac:dyDescent="0.25">
      <c r="Q259" s="22"/>
      <c r="S259" s="22"/>
    </row>
    <row r="260" spans="17:19" x14ac:dyDescent="0.25">
      <c r="Q260" s="22"/>
      <c r="S260" s="22"/>
    </row>
    <row r="261" spans="17:19" x14ac:dyDescent="0.25">
      <c r="Q261" s="22"/>
      <c r="S261" s="22"/>
    </row>
    <row r="262" spans="17:19" x14ac:dyDescent="0.25">
      <c r="Q262" s="22"/>
      <c r="S262" s="22"/>
    </row>
    <row r="263" spans="17:19" x14ac:dyDescent="0.25">
      <c r="Q263" s="22"/>
      <c r="S263" s="22"/>
    </row>
    <row r="264" spans="17:19" x14ac:dyDescent="0.25">
      <c r="Q264" s="22"/>
      <c r="S264" s="22"/>
    </row>
    <row r="265" spans="17:19" x14ac:dyDescent="0.25">
      <c r="Q265" s="22"/>
      <c r="S265" s="22"/>
    </row>
    <row r="266" spans="17:19" x14ac:dyDescent="0.25">
      <c r="Q266" s="22"/>
      <c r="S266" s="22"/>
    </row>
    <row r="267" spans="17:19" x14ac:dyDescent="0.25">
      <c r="Q267" s="22"/>
      <c r="S267" s="22"/>
    </row>
    <row r="268" spans="17:19" x14ac:dyDescent="0.25">
      <c r="Q268" s="22"/>
      <c r="S268" s="22"/>
    </row>
    <row r="269" spans="17:19" x14ac:dyDescent="0.25">
      <c r="Q269" s="22"/>
      <c r="S269" s="22"/>
    </row>
    <row r="270" spans="17:19" x14ac:dyDescent="0.25">
      <c r="Q270" s="22"/>
      <c r="S270" s="22"/>
    </row>
    <row r="271" spans="17:19" x14ac:dyDescent="0.25">
      <c r="Q271" s="22"/>
      <c r="S271" s="22"/>
    </row>
    <row r="272" spans="17:19" x14ac:dyDescent="0.25">
      <c r="Q272" s="22"/>
      <c r="S272" s="22"/>
    </row>
    <row r="273" spans="17:19" x14ac:dyDescent="0.25">
      <c r="Q273" s="22"/>
      <c r="S273" s="22"/>
    </row>
    <row r="274" spans="17:19" x14ac:dyDescent="0.25">
      <c r="Q274" s="22"/>
      <c r="S274" s="22"/>
    </row>
    <row r="275" spans="17:19" x14ac:dyDescent="0.25">
      <c r="Q275" s="22"/>
      <c r="S275" s="22"/>
    </row>
    <row r="276" spans="17:19" x14ac:dyDescent="0.25">
      <c r="Q276" s="22"/>
      <c r="S276" s="22"/>
    </row>
    <row r="277" spans="17:19" x14ac:dyDescent="0.25">
      <c r="Q277" s="22"/>
      <c r="S277" s="22"/>
    </row>
    <row r="278" spans="17:19" x14ac:dyDescent="0.25">
      <c r="Q278" s="22"/>
      <c r="S278" s="22"/>
    </row>
  </sheetData>
  <mergeCells count="20">
    <mergeCell ref="A1:B26"/>
    <mergeCell ref="C1:Y1"/>
    <mergeCell ref="H7:H17"/>
    <mergeCell ref="P7:P17"/>
    <mergeCell ref="H6:P6"/>
    <mergeCell ref="H18:P18"/>
    <mergeCell ref="C2:C25"/>
    <mergeCell ref="D21:G23"/>
    <mergeCell ref="AB8:AC33"/>
    <mergeCell ref="D4:N5"/>
    <mergeCell ref="M22:O23"/>
    <mergeCell ref="I22:K23"/>
    <mergeCell ref="I12:O12"/>
    <mergeCell ref="I11:O11"/>
    <mergeCell ref="I8:O8"/>
    <mergeCell ref="I14:O14"/>
    <mergeCell ref="I17:O17"/>
    <mergeCell ref="I10:J10"/>
    <mergeCell ref="I7:J7"/>
    <mergeCell ref="I13:J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26</xdr:col>
                <xdr:colOff>0</xdr:colOff>
                <xdr:row>2</xdr:row>
                <xdr:rowOff>228600</xdr:rowOff>
              </from>
              <to>
                <xdr:col>29</xdr:col>
                <xdr:colOff>76200</xdr:colOff>
                <xdr:row>6</xdr:row>
                <xdr:rowOff>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AA39"/>
  <sheetViews>
    <sheetView showGridLines="0" showRowColHeaders="0" workbookViewId="0"/>
  </sheetViews>
  <sheetFormatPr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T1" s="43"/>
      <c r="U1" s="43"/>
      <c r="V1" s="43"/>
      <c r="W1" s="43"/>
      <c r="X1" s="43"/>
      <c r="Y1" s="43"/>
      <c r="Z1" s="43"/>
      <c r="AA1" s="43"/>
    </row>
    <row r="2" spans="1:27" ht="28.5" x14ac:dyDescent="0.45">
      <c r="A2" s="43"/>
      <c r="B2" s="43"/>
      <c r="C2" s="43"/>
      <c r="D2" s="43"/>
      <c r="E2" s="43"/>
      <c r="F2" s="43"/>
      <c r="G2" s="43"/>
      <c r="H2" s="43"/>
      <c r="I2" s="44"/>
      <c r="J2" s="44" t="s">
        <v>33</v>
      </c>
      <c r="K2" s="44"/>
      <c r="L2" s="44"/>
      <c r="M2" s="44"/>
      <c r="N2" s="44"/>
      <c r="T2" s="43"/>
      <c r="U2" s="43"/>
      <c r="V2" s="43"/>
      <c r="W2" s="43"/>
      <c r="X2" s="43"/>
      <c r="Y2" s="43"/>
      <c r="Z2" s="43"/>
      <c r="AA2" s="43"/>
    </row>
    <row r="3" spans="1:27" ht="28.5" x14ac:dyDescent="0.45">
      <c r="A3" s="43"/>
      <c r="B3" s="43"/>
      <c r="C3" s="43"/>
      <c r="D3" s="43"/>
      <c r="E3" s="43"/>
      <c r="F3" s="43"/>
      <c r="G3" s="43"/>
      <c r="H3" s="43"/>
      <c r="I3" s="44"/>
      <c r="J3" s="44"/>
      <c r="K3" s="44"/>
      <c r="L3" s="44"/>
      <c r="M3" s="44"/>
      <c r="N3" s="44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2:D33"/>
  <sheetViews>
    <sheetView showGridLines="0" workbookViewId="0">
      <selection activeCell="G8" sqref="G8"/>
    </sheetView>
  </sheetViews>
  <sheetFormatPr defaultRowHeight="15" x14ac:dyDescent="0.25"/>
  <sheetData>
    <row r="2" spans="1:4" x14ac:dyDescent="0.25">
      <c r="A2" s="26">
        <v>11111</v>
      </c>
      <c r="B2" s="26" t="s">
        <v>26</v>
      </c>
      <c r="C2" s="26">
        <v>3</v>
      </c>
      <c r="D2" s="28">
        <v>2</v>
      </c>
    </row>
    <row r="3" spans="1:4" x14ac:dyDescent="0.25">
      <c r="A3" s="26"/>
      <c r="B3" s="26"/>
      <c r="C3" s="26"/>
      <c r="D3" s="28"/>
    </row>
    <row r="4" spans="1:4" x14ac:dyDescent="0.25">
      <c r="A4" s="26"/>
      <c r="B4" s="26"/>
      <c r="C4" s="26"/>
      <c r="D4" s="28"/>
    </row>
    <row r="5" spans="1:4" x14ac:dyDescent="0.25">
      <c r="A5" s="26"/>
      <c r="B5" s="26"/>
      <c r="C5" s="26"/>
      <c r="D5" s="28"/>
    </row>
    <row r="6" spans="1:4" x14ac:dyDescent="0.25">
      <c r="A6" s="26"/>
      <c r="B6" s="26"/>
      <c r="C6" s="26"/>
      <c r="D6" s="28"/>
    </row>
    <row r="7" spans="1:4" x14ac:dyDescent="0.25">
      <c r="A7" s="26"/>
      <c r="B7" s="26"/>
      <c r="C7" s="26"/>
      <c r="D7" s="28"/>
    </row>
    <row r="8" spans="1:4" x14ac:dyDescent="0.25">
      <c r="A8" s="26"/>
      <c r="B8" s="26"/>
      <c r="C8" s="26"/>
      <c r="D8" s="28"/>
    </row>
    <row r="9" spans="1:4" x14ac:dyDescent="0.25">
      <c r="A9" s="26"/>
      <c r="B9" s="26"/>
      <c r="C9" s="26"/>
      <c r="D9" s="28"/>
    </row>
    <row r="10" spans="1:4" ht="39" customHeight="1" x14ac:dyDescent="0.25">
      <c r="A10" s="26"/>
      <c r="B10" s="26"/>
      <c r="C10" s="26"/>
      <c r="D10" s="28"/>
    </row>
    <row r="11" spans="1:4" ht="13.5" customHeight="1" x14ac:dyDescent="0.25">
      <c r="A11" s="27"/>
      <c r="B11" s="26"/>
      <c r="C11" s="27"/>
      <c r="D11" s="28"/>
    </row>
    <row r="12" spans="1:4" x14ac:dyDescent="0.25">
      <c r="A12" s="27"/>
      <c r="B12" s="27"/>
      <c r="C12" s="27"/>
      <c r="D12" s="28"/>
    </row>
    <row r="13" spans="1:4" x14ac:dyDescent="0.25">
      <c r="A13" s="27"/>
      <c r="B13" s="27"/>
      <c r="C13" s="27"/>
      <c r="D13" s="28"/>
    </row>
    <row r="14" spans="1:4" x14ac:dyDescent="0.25">
      <c r="A14" s="27"/>
      <c r="B14" s="27"/>
      <c r="C14" s="27"/>
      <c r="D14" s="28"/>
    </row>
    <row r="15" spans="1:4" x14ac:dyDescent="0.25">
      <c r="A15" s="27"/>
      <c r="B15" s="27"/>
      <c r="C15" s="27"/>
      <c r="D15" s="28"/>
    </row>
    <row r="16" spans="1:4" x14ac:dyDescent="0.25">
      <c r="A16" s="27"/>
      <c r="B16" s="27"/>
      <c r="C16" s="27"/>
      <c r="D16" s="28"/>
    </row>
    <row r="17" spans="1:4" x14ac:dyDescent="0.25">
      <c r="A17" s="27"/>
      <c r="B17" s="27"/>
      <c r="C17" s="27"/>
      <c r="D17" s="28"/>
    </row>
    <row r="18" spans="1:4" x14ac:dyDescent="0.25">
      <c r="A18" s="27"/>
      <c r="B18" s="27"/>
      <c r="C18" s="27"/>
      <c r="D18" s="28"/>
    </row>
    <row r="19" spans="1:4" x14ac:dyDescent="0.25">
      <c r="A19" s="27"/>
      <c r="B19" s="27"/>
      <c r="C19" s="27"/>
      <c r="D19" s="28"/>
    </row>
    <row r="20" spans="1:4" x14ac:dyDescent="0.25">
      <c r="A20" s="27"/>
      <c r="B20" s="27"/>
      <c r="C20" s="27"/>
      <c r="D20" s="28"/>
    </row>
    <row r="21" spans="1:4" x14ac:dyDescent="0.25">
      <c r="A21" s="27"/>
      <c r="B21" s="27"/>
      <c r="C21" s="27"/>
      <c r="D21" s="28"/>
    </row>
    <row r="22" spans="1:4" x14ac:dyDescent="0.25">
      <c r="A22" s="27"/>
      <c r="B22" s="27"/>
      <c r="C22" s="27"/>
      <c r="D22" s="28"/>
    </row>
    <row r="23" spans="1:4" x14ac:dyDescent="0.25">
      <c r="A23" s="27"/>
      <c r="B23" s="27"/>
      <c r="C23" s="27"/>
      <c r="D23" s="28"/>
    </row>
    <row r="24" spans="1:4" x14ac:dyDescent="0.25">
      <c r="A24" s="27"/>
      <c r="B24" s="27"/>
      <c r="C24" s="27"/>
      <c r="D24" s="28"/>
    </row>
    <row r="25" spans="1:4" x14ac:dyDescent="0.25">
      <c r="A25" s="27"/>
      <c r="B25" s="27"/>
      <c r="C25" s="27"/>
      <c r="D25" s="28"/>
    </row>
    <row r="26" spans="1:4" x14ac:dyDescent="0.25">
      <c r="A26" s="27"/>
      <c r="B26" s="27"/>
      <c r="C26" s="27"/>
      <c r="D26" s="28"/>
    </row>
    <row r="27" spans="1:4" x14ac:dyDescent="0.25">
      <c r="A27" s="27"/>
      <c r="B27" s="27"/>
      <c r="C27" s="27"/>
      <c r="D27" s="28"/>
    </row>
    <row r="28" spans="1:4" x14ac:dyDescent="0.25">
      <c r="A28" s="27"/>
      <c r="B28" s="27"/>
      <c r="C28" s="27"/>
      <c r="D28" s="28"/>
    </row>
    <row r="29" spans="1:4" x14ac:dyDescent="0.25">
      <c r="A29" s="27"/>
      <c r="B29" s="27"/>
      <c r="C29" s="27"/>
      <c r="D29" s="28"/>
    </row>
    <row r="30" spans="1:4" x14ac:dyDescent="0.25">
      <c r="A30" s="27"/>
      <c r="B30" s="27"/>
      <c r="C30" s="27"/>
      <c r="D30" s="28"/>
    </row>
    <row r="31" spans="1:4" x14ac:dyDescent="0.25">
      <c r="A31" s="27"/>
      <c r="B31" s="27"/>
      <c r="C31" s="27"/>
      <c r="D31" s="28"/>
    </row>
    <row r="32" spans="1:4" x14ac:dyDescent="0.25">
      <c r="A32" s="27"/>
      <c r="B32" s="27"/>
      <c r="C32" s="27"/>
      <c r="D32" s="28"/>
    </row>
    <row r="33" spans="1:4" x14ac:dyDescent="0.25">
      <c r="A33" s="27"/>
      <c r="B33" s="27"/>
      <c r="C33" s="27"/>
      <c r="D33" s="28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M21"/>
  <sheetViews>
    <sheetView showGridLines="0" workbookViewId="0"/>
  </sheetViews>
  <sheetFormatPr defaultRowHeight="15" x14ac:dyDescent="0.25"/>
  <cols>
    <col min="2" max="2" width="11.5703125" customWidth="1"/>
    <col min="3" max="3" width="11" customWidth="1"/>
    <col min="4" max="4" width="13" customWidth="1"/>
    <col min="5" max="5" width="21.140625" customWidth="1"/>
  </cols>
  <sheetData>
    <row r="1" spans="1:13" x14ac:dyDescent="0.25">
      <c r="A1" s="17" t="s">
        <v>27</v>
      </c>
      <c r="B1" s="17" t="s">
        <v>28</v>
      </c>
      <c r="C1" s="17" t="s">
        <v>30</v>
      </c>
      <c r="D1" s="17" t="s">
        <v>31</v>
      </c>
      <c r="E1" s="17" t="s">
        <v>32</v>
      </c>
    </row>
    <row r="2" spans="1:13" x14ac:dyDescent="0.25">
      <c r="A2" s="17">
        <v>11111</v>
      </c>
      <c r="B2" s="17" t="str">
        <f>IFERROR(VLOOKUP(A2,banco,2,0),"Produto não cadastrado")</f>
        <v xml:space="preserve">Ameixa </v>
      </c>
      <c r="C2" s="1">
        <f>VLOOKUP(A2,banco_loja,3,0)</f>
        <v>2</v>
      </c>
      <c r="D2" s="17">
        <v>9</v>
      </c>
      <c r="E2" s="19">
        <f>C2*D2</f>
        <v>18</v>
      </c>
    </row>
    <row r="15" spans="1:13" x14ac:dyDescent="0.25">
      <c r="M15" s="11"/>
    </row>
    <row r="16" spans="1:13" x14ac:dyDescent="0.25">
      <c r="L16" s="11"/>
    </row>
    <row r="17" spans="4:8" x14ac:dyDescent="0.25">
      <c r="D17" s="11"/>
      <c r="E17" s="11"/>
      <c r="F17" s="11"/>
    </row>
    <row r="18" spans="4:8" x14ac:dyDescent="0.25">
      <c r="D18" s="11"/>
      <c r="E18" s="11"/>
      <c r="F18" s="11"/>
    </row>
    <row r="19" spans="4:8" x14ac:dyDescent="0.25">
      <c r="D19" s="11"/>
      <c r="E19" s="11"/>
      <c r="F19" s="11"/>
    </row>
    <row r="20" spans="4:8" x14ac:dyDescent="0.25">
      <c r="D20" s="11"/>
      <c r="E20" s="11"/>
      <c r="F20" s="11"/>
      <c r="H20" s="11"/>
    </row>
    <row r="21" spans="4:8" x14ac:dyDescent="0.25">
      <c r="H21" s="11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J15"/>
  <sheetViews>
    <sheetView showGridLines="0" showRowColHeaders="0" workbookViewId="0">
      <selection activeCell="G10" sqref="G10"/>
    </sheetView>
  </sheetViews>
  <sheetFormatPr defaultRowHeight="15" x14ac:dyDescent="0.25"/>
  <cols>
    <col min="1" max="1" width="14.85546875" bestFit="1" customWidth="1"/>
  </cols>
  <sheetData>
    <row r="1" spans="1:10" x14ac:dyDescent="0.25">
      <c r="A1" s="17" t="s">
        <v>27</v>
      </c>
      <c r="B1" s="17" t="s">
        <v>28</v>
      </c>
      <c r="C1" s="17" t="s">
        <v>30</v>
      </c>
    </row>
    <row r="2" spans="1:10" ht="49.5" x14ac:dyDescent="1">
      <c r="A2" s="20">
        <v>11111</v>
      </c>
      <c r="B2" s="18" t="s">
        <v>26</v>
      </c>
      <c r="C2">
        <v>2</v>
      </c>
    </row>
    <row r="3" spans="1:10" ht="49.5" x14ac:dyDescent="1">
      <c r="A3" s="20">
        <v>11112</v>
      </c>
      <c r="B3" s="12" t="s">
        <v>25</v>
      </c>
      <c r="C3">
        <v>15</v>
      </c>
    </row>
    <row r="4" spans="1:10" ht="49.5" x14ac:dyDescent="1">
      <c r="A4" s="20">
        <v>11113</v>
      </c>
      <c r="B4" s="18" t="s">
        <v>24</v>
      </c>
      <c r="C4">
        <v>2</v>
      </c>
    </row>
    <row r="5" spans="1:10" ht="49.5" x14ac:dyDescent="1">
      <c r="A5" s="20">
        <v>11114</v>
      </c>
      <c r="B5" s="18" t="s">
        <v>23</v>
      </c>
      <c r="C5">
        <v>10</v>
      </c>
    </row>
    <row r="6" spans="1:10" ht="49.5" x14ac:dyDescent="1">
      <c r="A6" s="20">
        <v>11115</v>
      </c>
      <c r="B6" s="18" t="s">
        <v>21</v>
      </c>
      <c r="C6">
        <v>12</v>
      </c>
    </row>
    <row r="7" spans="1:10" ht="49.5" x14ac:dyDescent="1">
      <c r="A7" s="20">
        <v>11116</v>
      </c>
      <c r="B7" s="18" t="s">
        <v>22</v>
      </c>
      <c r="C7">
        <v>6</v>
      </c>
    </row>
    <row r="8" spans="1:10" ht="49.5" x14ac:dyDescent="1">
      <c r="A8" s="20">
        <v>11117</v>
      </c>
      <c r="B8" s="18" t="s">
        <v>20</v>
      </c>
      <c r="C8">
        <v>9</v>
      </c>
      <c r="J8" s="21"/>
    </row>
    <row r="9" spans="1:10" ht="49.5" x14ac:dyDescent="1">
      <c r="A9" s="20">
        <v>11118</v>
      </c>
      <c r="B9" s="18" t="s">
        <v>19</v>
      </c>
      <c r="C9">
        <v>7</v>
      </c>
    </row>
    <row r="10" spans="1:10" ht="49.5" x14ac:dyDescent="1">
      <c r="A10" s="20">
        <v>11119</v>
      </c>
      <c r="B10" s="18" t="s">
        <v>2</v>
      </c>
      <c r="C10">
        <v>6</v>
      </c>
    </row>
    <row r="11" spans="1:10" ht="49.5" x14ac:dyDescent="1">
      <c r="A11" s="20">
        <v>11120</v>
      </c>
      <c r="B11" s="18" t="s">
        <v>0</v>
      </c>
      <c r="C11">
        <v>10</v>
      </c>
    </row>
    <row r="12" spans="1:10" ht="49.5" x14ac:dyDescent="1">
      <c r="A12" s="20">
        <v>11121</v>
      </c>
      <c r="B12" s="18" t="s">
        <v>3</v>
      </c>
      <c r="C12">
        <v>7</v>
      </c>
    </row>
    <row r="13" spans="1:10" ht="49.5" x14ac:dyDescent="1">
      <c r="A13" s="20">
        <v>11122</v>
      </c>
      <c r="B13" s="18" t="s">
        <v>1</v>
      </c>
      <c r="C13">
        <v>5</v>
      </c>
    </row>
    <row r="14" spans="1:10" ht="49.5" x14ac:dyDescent="1">
      <c r="A14" s="20">
        <v>11123</v>
      </c>
      <c r="B14" s="18" t="s">
        <v>17</v>
      </c>
      <c r="C14">
        <v>3</v>
      </c>
    </row>
    <row r="15" spans="1:10" ht="49.5" x14ac:dyDescent="1">
      <c r="A15" s="20">
        <v>11124</v>
      </c>
      <c r="B15" s="18" t="s">
        <v>18</v>
      </c>
      <c r="C15">
        <v>5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TELA LOGIN</vt:lpstr>
      <vt:lpstr>CAIXA</vt:lpstr>
      <vt:lpstr>PAGAMENTO</vt:lpstr>
      <vt:lpstr>RELATORIO</vt:lpstr>
      <vt:lpstr>PRODUTO</vt:lpstr>
      <vt:lpstr>BANCO DE DADOS</vt:lpstr>
      <vt:lpstr>banco</vt:lpstr>
      <vt:lpstr>banco_loja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2024-09-25T22:10:31Z</dcterms:created>
  <dcterms:modified xsi:type="dcterms:W3CDTF">2024-10-16T23:19:28Z</dcterms:modified>
</cp:coreProperties>
</file>